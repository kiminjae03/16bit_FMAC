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https://sejonguniversity-my.sharepoint.com/personal/ljooh2_sju_ac_kr/Documents/03_FP_Arithmetic/"/>
    </mc:Choice>
  </mc:AlternateContent>
  <xr:revisionPtr revIDLastSave="2679" documentId="8_{42A683ED-67DE-41DF-8BBB-F24C8555AF88}" xr6:coauthVersionLast="47" xr6:coauthVersionMax="47" xr10:uidLastSave="{9AEEDD16-A0A0-4F58-9249-05262AEC2718}"/>
  <bookViews>
    <workbookView xWindow="-110" yWindow="-110" windowWidth="38620" windowHeight="21220" xr2:uid="{D736C5B2-B3C8-46EC-9F19-601B27F7379F}"/>
  </bookViews>
  <sheets>
    <sheet name="Simulator_Of_F16" sheetId="1" r:id="rId1"/>
    <sheet name="Sheet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1" i="1" l="1"/>
  <c r="E50" i="1"/>
  <c r="E49" i="1"/>
  <c r="E48" i="1"/>
  <c r="M27" i="1"/>
  <c r="M21" i="1"/>
  <c r="M22" i="1"/>
  <c r="M23" i="1"/>
  <c r="M24" i="1"/>
  <c r="M25" i="1"/>
  <c r="M26" i="1"/>
  <c r="M18" i="1"/>
  <c r="M19" i="1"/>
  <c r="M20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2" i="1"/>
  <c r="D45" i="1" a="1"/>
  <c r="G36" i="1" a="1"/>
  <c r="E53" i="1" a="1"/>
  <c r="J35" i="1" a="1"/>
  <c r="B38" i="1" a="1"/>
  <c r="I3" i="1" a="1"/>
  <c r="I18" i="1" a="1"/>
  <c r="I5" i="1" a="1"/>
  <c r="F5" i="1" a="1"/>
  <c r="F18" i="1" a="1"/>
  <c r="F3" i="1" a="1"/>
  <c r="D3" i="1" a="1"/>
  <c r="D18" i="1" a="1"/>
  <c r="D5" i="1" a="1"/>
  <c r="B18" i="1" a="1"/>
  <c r="B3" i="1" a="1"/>
  <c r="B5" i="1" a="1"/>
  <c r="B38" i="1" l="1"/>
  <c r="J35" i="1"/>
  <c r="I3" i="1"/>
  <c r="E53" i="1"/>
  <c r="D45" i="1"/>
  <c r="F3" i="1"/>
  <c r="D3" i="1"/>
  <c r="B3" i="1"/>
  <c r="I18" i="1"/>
  <c r="F18" i="1"/>
  <c r="B18" i="1"/>
  <c r="D18" i="1"/>
  <c r="G36" i="1"/>
  <c r="D5" i="1"/>
  <c r="F5" i="1"/>
  <c r="I5" i="1"/>
  <c r="B5" i="1"/>
  <c r="E54" i="1" a="1"/>
  <c r="E46" i="1" a="1"/>
  <c r="J36" i="1" a="1"/>
  <c r="I7" i="1" a="1"/>
  <c r="I6" i="1" a="1"/>
  <c r="F6" i="1" a="1"/>
  <c r="F7" i="1" a="1"/>
  <c r="D6" i="1" a="1"/>
  <c r="D7" i="1" a="1"/>
  <c r="B7" i="1" a="1"/>
  <c r="B6" i="1" a="1"/>
  <c r="J36" i="1" l="1"/>
  <c r="E46" i="1"/>
  <c r="E54" i="1"/>
  <c r="I7" i="1"/>
  <c r="I6" i="1"/>
  <c r="F7" i="1"/>
  <c r="F6" i="1"/>
  <c r="D6" i="1"/>
  <c r="D7" i="1"/>
  <c r="B6" i="1"/>
  <c r="B7" i="1"/>
  <c r="E55" i="1" a="1"/>
  <c r="I8" i="1" a="1"/>
  <c r="I20" i="1" a="1"/>
  <c r="F20" i="1" a="1"/>
  <c r="F8" i="1" a="1"/>
  <c r="D20" i="1" a="1"/>
  <c r="D8" i="1" a="1"/>
  <c r="B8" i="1" a="1"/>
  <c r="B20" i="1" a="1"/>
  <c r="E55" i="1" l="1"/>
  <c r="B8" i="1"/>
  <c r="B20" i="1"/>
  <c r="F20" i="1"/>
  <c r="F8" i="1"/>
  <c r="D8" i="1"/>
  <c r="D20" i="1"/>
  <c r="I8" i="1"/>
  <c r="I20" i="1"/>
  <c r="J11" i="1" a="1"/>
  <c r="J9" i="1" a="1"/>
  <c r="J10" i="1" a="1"/>
  <c r="G9" i="1" a="1"/>
  <c r="G10" i="1" a="1"/>
  <c r="G11" i="1" a="1"/>
  <c r="E10" i="1" a="1"/>
  <c r="E9" i="1" a="1"/>
  <c r="E11" i="1" a="1"/>
  <c r="C10" i="1" a="1"/>
  <c r="C9" i="1" a="1"/>
  <c r="C11" i="1" a="1"/>
  <c r="J9" i="1" l="1"/>
  <c r="I9" i="1" s="1"/>
  <c r="J10" i="1"/>
  <c r="J11" i="1"/>
  <c r="I11" i="1" s="1"/>
  <c r="G11" i="1"/>
  <c r="F11" i="1" s="1"/>
  <c r="G9" i="1"/>
  <c r="F9" i="1" s="1"/>
  <c r="G10" i="1"/>
  <c r="E9" i="1"/>
  <c r="D9" i="1" s="1"/>
  <c r="E11" i="1"/>
  <c r="D11" i="1" s="1"/>
  <c r="E10" i="1"/>
  <c r="C11" i="1"/>
  <c r="B11" i="1" s="1"/>
  <c r="C10" i="1"/>
  <c r="C9" i="1"/>
  <c r="I10" i="1" l="1"/>
  <c r="I13" i="1"/>
  <c r="F10" i="1"/>
  <c r="F13" i="1"/>
  <c r="D10" i="1"/>
  <c r="D15" i="1" s="1"/>
  <c r="D4" i="1" s="1"/>
  <c r="D13" i="1"/>
  <c r="B10" i="1"/>
  <c r="B13" i="1"/>
  <c r="F21" i="1" a="1"/>
  <c r="I21" i="1" a="1"/>
  <c r="B21" i="1" a="1"/>
  <c r="I21" i="1" l="1"/>
  <c r="F21" i="1"/>
  <c r="B21" i="1"/>
  <c r="B15" i="1"/>
  <c r="B4" i="1" s="1"/>
  <c r="B16" i="1"/>
  <c r="B17" i="1" s="1"/>
  <c r="I15" i="1"/>
  <c r="I4" i="1" s="1"/>
  <c r="F15" i="1"/>
  <c r="F4" i="1" s="1"/>
  <c r="D16" i="1"/>
  <c r="D17" i="1" s="1"/>
  <c r="I22" i="1" a="1"/>
  <c r="I23" i="1" a="1"/>
  <c r="F25" i="1" a="1"/>
  <c r="F22" i="1" a="1"/>
  <c r="F23" i="1" a="1"/>
  <c r="D21" i="1" a="1"/>
  <c r="B23" i="1" a="1"/>
  <c r="B22" i="1" a="1"/>
  <c r="B25" i="1" a="1"/>
  <c r="D21" i="1" l="1"/>
  <c r="I23" i="1"/>
  <c r="I22" i="1"/>
  <c r="F25" i="1"/>
  <c r="F22" i="1"/>
  <c r="F23" i="1"/>
  <c r="B22" i="1"/>
  <c r="B25" i="1"/>
  <c r="B23" i="1"/>
  <c r="F26" i="1" a="1"/>
  <c r="D25" i="1" a="1"/>
  <c r="D22" i="1" a="1"/>
  <c r="D23" i="1" a="1"/>
  <c r="B26" i="1" a="1"/>
  <c r="B29" i="1" a="1"/>
  <c r="D25" i="1" l="1"/>
  <c r="D22" i="1"/>
  <c r="D23" i="1"/>
  <c r="F26" i="1"/>
  <c r="B26" i="1"/>
  <c r="B29" i="1"/>
  <c r="F27" i="1" a="1"/>
  <c r="D26" i="1" a="1"/>
  <c r="B30" i="1" a="1"/>
  <c r="B31" i="1" a="1"/>
  <c r="D29" i="1" a="1"/>
  <c r="B34" i="1" a="1"/>
  <c r="B27" i="1" a="1"/>
  <c r="B34" i="1" l="1"/>
  <c r="D26" i="1"/>
  <c r="D29" i="1"/>
  <c r="F27" i="1"/>
  <c r="B30" i="1"/>
  <c r="B31" i="1"/>
  <c r="B27" i="1"/>
  <c r="D27" i="1" a="1"/>
  <c r="B35" i="1" a="1"/>
  <c r="D31" i="1" a="1"/>
  <c r="D34" i="1" a="1"/>
  <c r="D30" i="1" a="1"/>
  <c r="D27" i="1" l="1"/>
  <c r="D30" i="1"/>
  <c r="D31" i="1"/>
  <c r="D34" i="1"/>
  <c r="B35" i="1"/>
  <c r="C39" i="1" a="1"/>
  <c r="C36" i="1" a="1"/>
  <c r="D35" i="1" a="1"/>
  <c r="C42" i="1" a="1"/>
  <c r="D35" i="1" l="1"/>
  <c r="C42" i="1"/>
  <c r="C39" i="1"/>
  <c r="C36" i="1"/>
  <c r="E36" i="1" a="1"/>
  <c r="C40" i="1" a="1"/>
  <c r="B44" i="1" a="1"/>
  <c r="C40" i="1" l="1"/>
  <c r="B44" i="1"/>
  <c r="C51" i="1" s="1"/>
  <c r="E36" i="1"/>
  <c r="B45" i="1" a="1"/>
  <c r="C48" i="1" l="1"/>
  <c r="C50" i="1"/>
  <c r="C49" i="1"/>
  <c r="B45" i="1"/>
  <c r="B9" i="1"/>
  <c r="C46" i="1" a="1"/>
  <c r="C53" i="1" a="1"/>
  <c r="C53" i="1" l="1"/>
  <c r="C46" i="1"/>
  <c r="C54" i="1" a="1"/>
  <c r="C54" i="1" l="1"/>
  <c r="C55" i="1" a="1"/>
  <c r="C5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<sst xmlns="http://schemas.openxmlformats.org/spreadsheetml/2006/main" count="48" uniqueCount="40">
  <si>
    <t>16진수</t>
    <phoneticPr fontId="1" type="noConversion"/>
  </si>
  <si>
    <t>2진수</t>
    <phoneticPr fontId="1" type="noConversion"/>
  </si>
  <si>
    <t>Sign(1) | Exponent(5) | Mantissa(10)</t>
    <phoneticPr fontId="1" type="noConversion"/>
  </si>
  <si>
    <t>Mantissa</t>
    <phoneticPr fontId="1" type="noConversion"/>
  </si>
  <si>
    <t>x</t>
    <phoneticPr fontId="1" type="noConversion"/>
  </si>
  <si>
    <t>y</t>
    <phoneticPr fontId="1" type="noConversion"/>
  </si>
  <si>
    <t>x + y</t>
    <phoneticPr fontId="1" type="noConversion"/>
  </si>
  <si>
    <t>G</t>
    <phoneticPr fontId="1" type="noConversion"/>
  </si>
  <si>
    <t>R</t>
    <phoneticPr fontId="1" type="noConversion"/>
  </si>
  <si>
    <t>S</t>
    <phoneticPr fontId="1" type="noConversion"/>
  </si>
  <si>
    <t>Hidden 1-bit + Mantissa(11-bit)</t>
    <phoneticPr fontId="1" type="noConversion"/>
  </si>
  <si>
    <t>Hidden 1-bit + Mantissa + GRS(14-bit)</t>
    <phoneticPr fontId="1" type="noConversion"/>
  </si>
  <si>
    <t>LSB</t>
    <phoneticPr fontId="1" type="noConversion"/>
  </si>
  <si>
    <t>Aligned_X + Aligned_Y(14-bit)</t>
    <phoneticPr fontId="1" type="noConversion"/>
  </si>
  <si>
    <t>Aligned(14-bit)</t>
    <phoneticPr fontId="1" type="noConversion"/>
  </si>
  <si>
    <t>2's Complement of Aligned</t>
    <phoneticPr fontId="1" type="noConversion"/>
  </si>
  <si>
    <t>Normalized</t>
    <phoneticPr fontId="1" type="noConversion"/>
  </si>
  <si>
    <t>Exponent Diff(Mantissa Shift Right)</t>
    <phoneticPr fontId="1" type="noConversion"/>
  </si>
  <si>
    <t>Test</t>
    <phoneticPr fontId="1" type="noConversion"/>
  </si>
  <si>
    <t>10진수</t>
    <phoneticPr fontId="1" type="noConversion"/>
  </si>
  <si>
    <t>Denormal / NaN / Infinite</t>
    <phoneticPr fontId="1" type="noConversion"/>
  </si>
  <si>
    <t>Exponent(Decimal)</t>
    <phoneticPr fontId="1" type="noConversion"/>
  </si>
  <si>
    <t>Hexa</t>
    <phoneticPr fontId="1" type="noConversion"/>
  </si>
  <si>
    <t>Zero leading Count</t>
    <phoneticPr fontId="1" type="noConversion"/>
  </si>
  <si>
    <t>Rounding &amp; -GRS</t>
    <phoneticPr fontId="1" type="noConversion"/>
  </si>
  <si>
    <t>Output_Sign</t>
    <phoneticPr fontId="1" type="noConversion"/>
  </si>
  <si>
    <t>Output_Exponent</t>
    <phoneticPr fontId="1" type="noConversion"/>
  </si>
  <si>
    <t>Output_Mantissa</t>
    <phoneticPr fontId="1" type="noConversion"/>
  </si>
  <si>
    <t>Sign(1)  Dec|Hex</t>
    <phoneticPr fontId="1" type="noConversion"/>
  </si>
  <si>
    <t>Biased Exponent(5)  Dex|Hex</t>
    <phoneticPr fontId="1" type="noConversion"/>
  </si>
  <si>
    <t>Mantissa(10)  Dec|Hex</t>
    <phoneticPr fontId="1" type="noConversion"/>
  </si>
  <si>
    <t>Hex</t>
    <phoneticPr fontId="1" type="noConversion"/>
  </si>
  <si>
    <t>sticky bit 연산 추가 필요</t>
    <phoneticPr fontId="1" type="noConversion"/>
  </si>
  <si>
    <t>최소수</t>
    <phoneticPr fontId="1" type="noConversion"/>
  </si>
  <si>
    <t>10111101011100</t>
    <phoneticPr fontId="1" type="noConversion"/>
  </si>
  <si>
    <t>43C9</t>
    <phoneticPr fontId="1" type="noConversion"/>
  </si>
  <si>
    <t>8A87</t>
    <phoneticPr fontId="1" type="noConversion"/>
  </si>
  <si>
    <t>0B84</t>
    <phoneticPr fontId="1" type="noConversion"/>
  </si>
  <si>
    <t>01FA</t>
    <phoneticPr fontId="1" type="noConversion"/>
  </si>
  <si>
    <t>FFE8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</si>
</sst>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00000000000000000_ ;[Red]\-#,##0.00000000000000000000\ "/>
    <numFmt numFmtId="177" formatCode="0.0000000000_ ;[Red]\-0.0000000000\ "/>
  </numFmts>
  <fonts count="4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D2Coding ligature"/>
      <family val="3"/>
      <charset val="129"/>
    </font>
    <font>
      <sz val="12"/>
      <color rgb="FFFF0000"/>
      <name val="D2Coding ligature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2" fillId="0" borderId="0" xfId="0" quotePrefix="1" applyFont="1">
      <alignment vertical="center"/>
    </xf>
    <xf numFmtId="49" fontId="2" fillId="0" borderId="0" xfId="0" quotePrefix="1" applyNumberFormat="1" applyFont="1" applyAlignment="1">
      <alignment horizontal="right" vertical="center"/>
    </xf>
    <xf numFmtId="0" fontId="2" fillId="0" borderId="0" xfId="0" quotePrefix="1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176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2" fillId="6" borderId="0" xfId="0" quotePrefix="1" applyNumberFormat="1" applyFont="1" applyFill="1" applyAlignment="1">
      <alignment horizontal="right" vertical="center"/>
    </xf>
    <xf numFmtId="49" fontId="2" fillId="7" borderId="0" xfId="0" quotePrefix="1" applyNumberFormat="1" applyFont="1" applyFill="1" applyAlignment="1">
      <alignment horizontal="right" vertical="center"/>
    </xf>
    <xf numFmtId="49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177" fontId="2" fillId="0" borderId="0" xfId="0" applyNumberFormat="1" applyFont="1" applyAlignment="1">
      <alignment horizontal="right"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right" vertical="center"/>
    </xf>
  </cellXfs>
  <cellStyles count="1">
    <cellStyle name="표준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1566808</xdr:colOff>
      <xdr:row>2</xdr:row>
      <xdr:rowOff>190447</xdr:rowOff>
    </xdr:to>
    <xdr:pic macro="[0]!SplitCurrentCellEachCharToRight">
      <xdr:nvPicPr>
        <xdr:cNvPr id="5" name="그림 4">
          <a:extLst>
            <a:ext uri="{FF2B5EF4-FFF2-40B4-BE49-F238E27FC236}">
              <a16:creationId xmlns:a16="http://schemas.microsoft.com/office/drawing/2014/main" id="{83845834-2C84-406A-9C91-86947337F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43118" y="224118"/>
          <a:ext cx="1566808" cy="41456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AFBFE-5136-49EA-8028-C345E812BAAD}">
  <sheetPr codeName="Sheet1"/>
  <dimension ref="A1:AF60"/>
  <sheetViews>
    <sheetView tabSelected="1" zoomScaleNormal="100" workbookViewId="0">
      <selection activeCell="B39" sqref="B39"/>
    </sheetView>
  </sheetViews>
  <sheetFormatPr defaultRowHeight="15.5" x14ac:dyDescent="0.45"/>
  <cols>
    <col min="1" max="1" width="36.61328125" style="3" customWidth="1"/>
    <col min="2" max="8" width="12.07421875" style="3" customWidth="1"/>
    <col min="9" max="10" width="12.15234375" style="3" customWidth="1"/>
    <col min="11" max="11" width="8.3046875" style="3" customWidth="1"/>
    <col min="12" max="12" width="4.3046875" style="3" customWidth="1"/>
    <col min="13" max="13" width="14.07421875" style="3" customWidth="1"/>
    <col min="14" max="14" width="5.07421875" style="3" customWidth="1"/>
    <col min="15" max="15" width="19" style="4" customWidth="1"/>
    <col min="16" max="28" width="3" style="4" customWidth="1"/>
    <col min="29" max="31" width="3" style="2" customWidth="1"/>
    <col min="32" max="33" width="3" style="3" customWidth="1"/>
    <col min="34" max="16384" width="9.23046875" style="3"/>
  </cols>
  <sheetData>
    <row r="1" spans="1:32" ht="17.5" customHeight="1" x14ac:dyDescent="0.45">
      <c r="B1" s="18" t="s">
        <v>4</v>
      </c>
      <c r="C1" s="18"/>
      <c r="D1" s="19" t="s">
        <v>5</v>
      </c>
      <c r="E1" s="19"/>
      <c r="F1" s="17" t="s">
        <v>6</v>
      </c>
      <c r="G1" s="17"/>
      <c r="I1" s="17" t="s">
        <v>18</v>
      </c>
      <c r="J1" s="17"/>
    </row>
    <row r="2" spans="1:32" ht="17.5" customHeight="1" x14ac:dyDescent="0.45">
      <c r="A2" s="2" t="s">
        <v>0</v>
      </c>
      <c r="B2" s="14" t="s">
        <v>36</v>
      </c>
      <c r="C2" s="14"/>
      <c r="D2" s="14" t="s">
        <v>37</v>
      </c>
      <c r="E2" s="14"/>
      <c r="F2" s="14" t="s">
        <v>38</v>
      </c>
      <c r="G2" s="14"/>
      <c r="I2" s="14" t="s">
        <v>39</v>
      </c>
      <c r="J2" s="14"/>
      <c r="L2" s="3">
        <v>0</v>
      </c>
      <c r="M2" s="10">
        <f>2^(L2)</f>
        <v>1</v>
      </c>
    </row>
    <row r="3" spans="1:32" ht="17.5" customHeight="1" x14ac:dyDescent="0.45">
      <c r="A3" s="2" t="s">
        <v>19</v>
      </c>
      <c r="B3" s="16" cm="1">
        <f t="array" ref="B3">FP16HexToDecimal(B2)</f>
        <v>-1.9919872283935547E-4</v>
      </c>
      <c r="C3" s="16"/>
      <c r="D3" s="16" cm="1">
        <f t="array" ref="D3">FP16HexToDecimal(D2)</f>
        <v>2.2935867309570313E-4</v>
      </c>
      <c r="E3" s="16"/>
      <c r="F3" s="16" cm="1">
        <f t="array" ref="F3">FP16HexToDecimal(F2)</f>
        <v>3.0159950256347656E-5</v>
      </c>
      <c r="G3" s="16"/>
      <c r="H3" s="2"/>
      <c r="I3" s="16" cm="1">
        <f t="array" ref="I3">FP16HexToDecimal(I2)</f>
        <v>-129536</v>
      </c>
      <c r="J3" s="16"/>
      <c r="L3" s="3">
        <v>-1</v>
      </c>
      <c r="M3" s="10">
        <f t="shared" ref="M3:M27" si="0">2^(L3)</f>
        <v>0.5</v>
      </c>
    </row>
    <row r="4" spans="1:32" ht="17.5" customHeight="1" x14ac:dyDescent="0.45">
      <c r="A4" s="2" t="s">
        <v>33</v>
      </c>
      <c r="B4" s="16">
        <f>2^(B15-9)</f>
        <v>2.384185791015625E-7</v>
      </c>
      <c r="C4" s="16"/>
      <c r="D4" s="16">
        <f>2^(D15-9)</f>
        <v>2.384185791015625E-7</v>
      </c>
      <c r="E4" s="16"/>
      <c r="F4" s="16">
        <f>2^(F15-9)</f>
        <v>5.9604644775390625E-8</v>
      </c>
      <c r="G4" s="16"/>
      <c r="H4" s="2"/>
      <c r="I4" s="16">
        <f>2^(I15-9)</f>
        <v>128</v>
      </c>
      <c r="J4" s="16"/>
      <c r="L4" s="3">
        <v>-2</v>
      </c>
      <c r="M4" s="10">
        <f t="shared" si="0"/>
        <v>0.25</v>
      </c>
    </row>
    <row r="5" spans="1:32" ht="17.5" customHeight="1" x14ac:dyDescent="0.45">
      <c r="A5" s="2" t="s">
        <v>1</v>
      </c>
      <c r="B5" s="15" t="str" cm="1">
        <f t="array" ref="B5">(MY_HEX2BIN(B2))</f>
        <v>1000101010000111</v>
      </c>
      <c r="C5" s="15"/>
      <c r="D5" s="15" t="str" cm="1">
        <f t="array" ref="D5">(MY_HEX2BIN(D2))</f>
        <v>0000101110000100</v>
      </c>
      <c r="E5" s="15"/>
      <c r="F5" s="15" t="str" cm="1">
        <f t="array" ref="F5">(MY_HEX2BIN(F2))</f>
        <v>0000000111111010</v>
      </c>
      <c r="G5" s="15"/>
      <c r="I5" s="15" t="str" cm="1">
        <f t="array" ref="I5">(MY_HEX2BIN(I2))</f>
        <v>1111111111101000</v>
      </c>
      <c r="J5" s="15"/>
      <c r="L5" s="3">
        <v>-3</v>
      </c>
      <c r="M5" s="10">
        <f t="shared" si="0"/>
        <v>0.125</v>
      </c>
      <c r="P5" s="6"/>
      <c r="Q5" s="6"/>
      <c r="R5" s="12"/>
      <c r="S5" s="12"/>
      <c r="T5" s="12"/>
      <c r="U5" s="12"/>
      <c r="V5" s="12"/>
      <c r="W5" s="12"/>
      <c r="X5" s="12"/>
      <c r="Y5" s="12"/>
      <c r="Z5" s="12"/>
      <c r="AA5" s="12"/>
      <c r="AB5" s="6"/>
      <c r="AC5" s="7"/>
      <c r="AD5" s="7"/>
    </row>
    <row r="6" spans="1:32" ht="17.5" customHeight="1" x14ac:dyDescent="0.45">
      <c r="A6" s="2"/>
      <c r="B6" s="15" t="str" cm="1">
        <f t="array" ref="B6">InsertSpaceEvery4Chars(B5)</f>
        <v>1000 1010 1000 0111</v>
      </c>
      <c r="C6" s="15"/>
      <c r="D6" s="15" t="str" cm="1">
        <f t="array" ref="D6">InsertSpaceEvery4Chars(D5)</f>
        <v>0000 1011 1000 0100</v>
      </c>
      <c r="E6" s="15"/>
      <c r="F6" s="15" t="str" cm="1">
        <f t="array" ref="F6">InsertSpaceEvery4Chars(F5)</f>
        <v>0000 0001 1111 1010</v>
      </c>
      <c r="G6" s="15"/>
      <c r="I6" s="15" t="str" cm="1">
        <f t="array" ref="I6">InsertSpaceEvery4Chars(I5)</f>
        <v>1111 1111 1110 1000</v>
      </c>
      <c r="J6" s="15"/>
      <c r="L6" s="3">
        <v>-4</v>
      </c>
      <c r="M6" s="10">
        <f t="shared" si="0"/>
        <v>6.25E-2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7"/>
      <c r="AD6" s="7"/>
      <c r="AE6" s="7"/>
      <c r="AF6" s="5"/>
    </row>
    <row r="7" spans="1:32" ht="17.5" customHeight="1" x14ac:dyDescent="0.45">
      <c r="A7" s="2" t="s">
        <v>2</v>
      </c>
      <c r="B7" s="15" t="str" cm="1">
        <f t="array" ref="B7">SplitBinary(B5, 1, 6)</f>
        <v>1 | 0 0010 | 10 1000 0111</v>
      </c>
      <c r="C7" s="15"/>
      <c r="D7" s="15" t="str" cm="1">
        <f t="array" ref="D7">SplitBinary(D5, 1, 6)</f>
        <v>0 | 0 0010 | 11 1000 0100</v>
      </c>
      <c r="E7" s="15"/>
      <c r="F7" s="15" t="str" cm="1">
        <f t="array" ref="F7">SplitBinary(F5, 1, 6)</f>
        <v>0 | 0 0000 | 01 1111 1010</v>
      </c>
      <c r="G7" s="15"/>
      <c r="I7" s="15" t="str" cm="1">
        <f t="array" ref="I7">SplitBinary(I5, 1, 6)</f>
        <v>1 | 1 1111 | 11 1110 1000</v>
      </c>
      <c r="J7" s="15"/>
      <c r="L7" s="3">
        <v>-5</v>
      </c>
      <c r="M7" s="10">
        <f t="shared" si="0"/>
        <v>3.125E-2</v>
      </c>
      <c r="O7" s="2"/>
      <c r="P7" s="7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7"/>
    </row>
    <row r="8" spans="1:32" ht="17.5" customHeight="1" x14ac:dyDescent="0.45">
      <c r="A8" s="2"/>
      <c r="B8" s="15" t="str" cm="1">
        <f t="array" ref="B8">BinPartsToHex(B7)</f>
        <v>1 | 2 | 287</v>
      </c>
      <c r="C8" s="15"/>
      <c r="D8" s="15" t="str" cm="1">
        <f t="array" ref="D8">BinPartsToHex(D7)</f>
        <v>0 | 2 | 384</v>
      </c>
      <c r="E8" s="15"/>
      <c r="F8" s="15" t="str" cm="1">
        <f t="array" ref="F8">BinPartsToHex(F7)</f>
        <v>0 | 0 | 1FA</v>
      </c>
      <c r="G8" s="15"/>
      <c r="I8" s="15" t="str" cm="1">
        <f t="array" ref="I8">BinPartsToHex(I7)</f>
        <v>1 | 1F | 3E8</v>
      </c>
      <c r="J8" s="15"/>
      <c r="L8" s="3">
        <v>-6</v>
      </c>
      <c r="M8" s="10">
        <f t="shared" si="0"/>
        <v>1.5625E-2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7"/>
    </row>
    <row r="9" spans="1:32" x14ac:dyDescent="0.45">
      <c r="A9" s="2" t="s">
        <v>28</v>
      </c>
      <c r="B9" s="2">
        <f>HEX2DEC(C9)</f>
        <v>1</v>
      </c>
      <c r="C9" s="2" t="str" cm="1">
        <f t="array" ref="C9">GetPipePart(B$8, 1)</f>
        <v>1</v>
      </c>
      <c r="D9" s="2">
        <f>HEX2DEC(E9)</f>
        <v>0</v>
      </c>
      <c r="E9" s="2" t="str" cm="1">
        <f t="array" ref="E9">GetPipePart(D$8, 1)</f>
        <v>0</v>
      </c>
      <c r="F9" s="2">
        <f>HEX2DEC(G9)</f>
        <v>0</v>
      </c>
      <c r="G9" s="2" t="str" cm="1">
        <f t="array" ref="G9">GetPipePart(F$8, 1)</f>
        <v>0</v>
      </c>
      <c r="I9" s="2">
        <f>HEX2DEC(J9)</f>
        <v>1</v>
      </c>
      <c r="J9" s="2" t="str" cm="1">
        <f t="array" ref="J9">GetPipePart(I$8, 1)</f>
        <v>1</v>
      </c>
      <c r="L9" s="3">
        <v>-7</v>
      </c>
      <c r="M9" s="10">
        <f t="shared" si="0"/>
        <v>7.8125E-3</v>
      </c>
      <c r="N9" s="2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32" x14ac:dyDescent="0.45">
      <c r="A10" s="2" t="s">
        <v>29</v>
      </c>
      <c r="B10" s="2">
        <f t="shared" ref="B10:D11" si="1">HEX2DEC(C10)</f>
        <v>2</v>
      </c>
      <c r="C10" s="2" t="str" cm="1">
        <f t="array" ref="C10">GetPipePart(B$8, 2)</f>
        <v>2</v>
      </c>
      <c r="D10" s="2">
        <f t="shared" si="1"/>
        <v>2</v>
      </c>
      <c r="E10" s="2" t="str" cm="1">
        <f t="array" ref="E10">GetPipePart(D$8, 2)</f>
        <v>2</v>
      </c>
      <c r="F10" s="2">
        <f t="shared" ref="F10" si="2">HEX2DEC(G10)</f>
        <v>0</v>
      </c>
      <c r="G10" s="2" t="str" cm="1">
        <f t="array" ref="G10">GetPipePart(F$8, 2)</f>
        <v>0</v>
      </c>
      <c r="I10" s="2">
        <f t="shared" ref="I10" si="3">HEX2DEC(J10)</f>
        <v>31</v>
      </c>
      <c r="J10" s="2" t="str" cm="1">
        <f t="array" ref="J10">GetPipePart(I$8, 2)</f>
        <v>1F</v>
      </c>
      <c r="L10" s="3">
        <v>-8</v>
      </c>
      <c r="M10" s="10">
        <f t="shared" si="0"/>
        <v>3.90625E-3</v>
      </c>
      <c r="N10" s="2"/>
      <c r="P10" s="6"/>
      <c r="Q10" s="6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6"/>
      <c r="AC10" s="7"/>
      <c r="AD10" s="7"/>
    </row>
    <row r="11" spans="1:32" x14ac:dyDescent="0.45">
      <c r="A11" s="2" t="s">
        <v>30</v>
      </c>
      <c r="B11" s="2">
        <f t="shared" si="1"/>
        <v>647</v>
      </c>
      <c r="C11" s="2" t="str" cm="1">
        <f t="array" ref="C11">GetPipePart(B$8, 3)</f>
        <v>287</v>
      </c>
      <c r="D11" s="2">
        <f t="shared" si="1"/>
        <v>900</v>
      </c>
      <c r="E11" s="2" t="str" cm="1">
        <f t="array" ref="E11">GetPipePart(D$8, 3)</f>
        <v>384</v>
      </c>
      <c r="F11" s="2">
        <f t="shared" ref="F11" si="4">HEX2DEC(G11)</f>
        <v>506</v>
      </c>
      <c r="G11" s="2" t="str" cm="1">
        <f t="array" ref="G11">GetPipePart(F$8, 3)</f>
        <v>1FA</v>
      </c>
      <c r="I11" s="2">
        <f t="shared" ref="I11" si="5">HEX2DEC(J11)</f>
        <v>1000</v>
      </c>
      <c r="J11" s="2" t="str" cm="1">
        <f t="array" ref="J11">GetPipePart(I$8, 3)</f>
        <v>3E8</v>
      </c>
      <c r="L11" s="3">
        <v>-9</v>
      </c>
      <c r="M11" s="10">
        <f t="shared" si="0"/>
        <v>1.953125E-3</v>
      </c>
      <c r="N11" s="2"/>
      <c r="AE11" s="7"/>
    </row>
    <row r="12" spans="1:32" x14ac:dyDescent="0.45">
      <c r="A12" s="2"/>
      <c r="B12" s="2"/>
      <c r="C12" s="2"/>
      <c r="D12" s="2"/>
      <c r="E12" s="2"/>
      <c r="F12" s="2"/>
      <c r="G12" s="2"/>
      <c r="I12" s="2"/>
      <c r="J12" s="2"/>
      <c r="L12" s="3">
        <v>-10</v>
      </c>
      <c r="M12" s="10">
        <f t="shared" si="0"/>
        <v>9.765625E-4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32" x14ac:dyDescent="0.45">
      <c r="A13" s="2" t="s">
        <v>20</v>
      </c>
      <c r="B13" s="20" t="str">
        <f>IF(C10="0","Denormal",IF(AND(C11="0", C10="1F"),"Infinite",IF(AND(C11&lt;&gt;"0", C10="1F"),"NaN","Normal")))</f>
        <v>Normal</v>
      </c>
      <c r="C13" s="20"/>
      <c r="D13" s="20" t="str">
        <f t="shared" ref="D13" si="6">IF(E10="0","Denormal",IF(AND(E11="0", E10="1F"),"Infinite",IF(AND(E11&lt;&gt;"0", E10="1F"),"NaN","Normal")))</f>
        <v>Normal</v>
      </c>
      <c r="E13" s="20"/>
      <c r="F13" s="20" t="str">
        <f t="shared" ref="F13:I13" si="7">IF(G10="0","Denormal",IF(AND(G11="0", G10="1F"),"Infinite",IF(AND(G11&lt;&gt;"0", G10="1F"),"NaN","Normal")))</f>
        <v>Denormal</v>
      </c>
      <c r="G13" s="20"/>
      <c r="I13" s="20" t="str">
        <f t="shared" si="7"/>
        <v>NaN</v>
      </c>
      <c r="J13" s="20"/>
      <c r="L13" s="3">
        <v>-11</v>
      </c>
      <c r="M13" s="10">
        <f t="shared" si="0"/>
        <v>4.8828125E-4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32" x14ac:dyDescent="0.45">
      <c r="A14" s="2"/>
      <c r="B14" s="2"/>
      <c r="C14" s="2"/>
      <c r="D14" s="2"/>
      <c r="E14" s="2"/>
      <c r="F14" s="2"/>
      <c r="G14" s="2"/>
      <c r="I14" s="2"/>
      <c r="J14" s="2"/>
      <c r="L14" s="3">
        <v>-12</v>
      </c>
      <c r="M14" s="10">
        <f t="shared" si="0"/>
        <v>2.44140625E-4</v>
      </c>
      <c r="P14" s="6"/>
      <c r="Q14" s="6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6"/>
      <c r="AC14" s="7"/>
      <c r="AD14" s="7"/>
    </row>
    <row r="15" spans="1:32" ht="17.5" customHeight="1" x14ac:dyDescent="0.45">
      <c r="A15" s="2" t="s">
        <v>21</v>
      </c>
      <c r="B15" s="15">
        <f>B10-15</f>
        <v>-13</v>
      </c>
      <c r="C15" s="15"/>
      <c r="D15" s="15">
        <f t="shared" ref="D15" si="8">D10-15</f>
        <v>-13</v>
      </c>
      <c r="E15" s="15"/>
      <c r="F15" s="15">
        <f t="shared" ref="F15:I15" si="9">F10-15</f>
        <v>-15</v>
      </c>
      <c r="G15" s="15"/>
      <c r="I15" s="15">
        <f t="shared" si="9"/>
        <v>16</v>
      </c>
      <c r="J15" s="15"/>
      <c r="L15" s="3">
        <v>-13</v>
      </c>
      <c r="M15" s="10">
        <f t="shared" si="0"/>
        <v>1.220703125E-4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32" x14ac:dyDescent="0.45">
      <c r="A16" s="2" t="s">
        <v>17</v>
      </c>
      <c r="B16" s="15">
        <f>IF(B10 &gt; D10, 0, ABS(B10 - D10))</f>
        <v>0</v>
      </c>
      <c r="C16" s="15"/>
      <c r="D16" s="15">
        <f>IF(D10 &gt; B10, 0, ABS(D10 - B10))</f>
        <v>0</v>
      </c>
      <c r="E16" s="15"/>
      <c r="F16" s="2"/>
      <c r="G16" s="2"/>
      <c r="I16" s="2"/>
      <c r="L16" s="3">
        <v>-14</v>
      </c>
      <c r="M16" s="10">
        <f t="shared" si="0"/>
        <v>6.103515625E-5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9" x14ac:dyDescent="0.45">
      <c r="A17" s="2" t="s">
        <v>31</v>
      </c>
      <c r="B17" s="15" t="str">
        <f>DEC2HEX(B16)</f>
        <v>0</v>
      </c>
      <c r="C17" s="15"/>
      <c r="D17" s="15" t="str">
        <f>DEC2HEX(D16)</f>
        <v>0</v>
      </c>
      <c r="E17" s="15"/>
      <c r="F17" s="2"/>
      <c r="G17" s="2"/>
      <c r="I17" s="2"/>
      <c r="L17" s="3">
        <v>-15</v>
      </c>
      <c r="M17" s="10">
        <f t="shared" si="0"/>
        <v>3.0517578125E-5</v>
      </c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9" x14ac:dyDescent="0.45">
      <c r="A18" s="2"/>
      <c r="B18" s="16" cm="1">
        <f t="array" ref="B18">FP16HexToDecimal(B2)</f>
        <v>-1.9919872283935547E-4</v>
      </c>
      <c r="C18" s="16"/>
      <c r="D18" s="16" cm="1">
        <f t="array" ref="D18">FP16HexToDecimal(D2)</f>
        <v>2.2935867309570313E-4</v>
      </c>
      <c r="E18" s="16"/>
      <c r="F18" s="16" cm="1">
        <f t="array" ref="F18">FP16HexToDecimal(F2)</f>
        <v>3.0159950256347656E-5</v>
      </c>
      <c r="G18" s="16"/>
      <c r="I18" s="16" cm="1">
        <f t="array" ref="I18">FP16HexToDecimal(I2)</f>
        <v>-129536</v>
      </c>
      <c r="J18" s="16"/>
      <c r="L18" s="3">
        <v>-16</v>
      </c>
      <c r="M18" s="10">
        <f t="shared" si="0"/>
        <v>1.52587890625E-5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9" x14ac:dyDescent="0.45">
      <c r="A19" s="2"/>
      <c r="B19" s="9"/>
      <c r="L19" s="3">
        <v>-17</v>
      </c>
      <c r="M19" s="10">
        <f t="shared" si="0"/>
        <v>7.62939453125E-6</v>
      </c>
      <c r="O19" s="2"/>
      <c r="P19" s="6"/>
      <c r="Q19" s="6"/>
      <c r="R19" s="6"/>
      <c r="S19" s="6"/>
      <c r="T19" s="6"/>
      <c r="U19" s="6"/>
      <c r="V19" s="6"/>
      <c r="W19" s="6"/>
      <c r="X19" s="6"/>
      <c r="Z19" s="6"/>
      <c r="AA19" s="6"/>
    </row>
    <row r="20" spans="1:29" ht="17.5" customHeight="1" x14ac:dyDescent="0.45">
      <c r="A20" s="2" t="s">
        <v>3</v>
      </c>
      <c r="B20" s="15" t="str" cm="1">
        <f t="array" ref="B20">CutBinaryIgnoreSpaces(B7, 3, 1, 10)</f>
        <v>1010000111</v>
      </c>
      <c r="C20" s="15"/>
      <c r="D20" s="15" t="str" cm="1">
        <f t="array" ref="D20">CutBinaryIgnoreSpaces(D7, 3, 1, 10)</f>
        <v>1110000100</v>
      </c>
      <c r="E20" s="15"/>
      <c r="F20" s="15" t="str" cm="1">
        <f t="array" ref="F20">CutBinaryIgnoreSpaces(F7, 3, 1, 10)</f>
        <v>0111111010</v>
      </c>
      <c r="G20" s="15"/>
      <c r="I20" s="15" t="str" cm="1">
        <f t="array" ref="I20">CutBinaryIgnoreSpaces(I7, 3, 1, 10)</f>
        <v>1111101000</v>
      </c>
      <c r="J20" s="15"/>
      <c r="L20" s="3">
        <v>-18</v>
      </c>
      <c r="M20" s="10">
        <f t="shared" si="0"/>
        <v>3.814697265625E-6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9" ht="17.5" customHeight="1" x14ac:dyDescent="0.45">
      <c r="A21" s="2" t="s">
        <v>10</v>
      </c>
      <c r="B21" s="15" t="str" cm="1">
        <f t="array" ref="B21">IF(B10&lt;&gt;0, AddOneToLeftOfBinary(B20), "0"&amp;B20)</f>
        <v>11010000111</v>
      </c>
      <c r="C21" s="15"/>
      <c r="D21" s="15" t="str" cm="1">
        <f t="array" ref="D21">IF(D10&lt;&gt;0, AddOneToLeftOfBinary(D20), "0"&amp;D20)</f>
        <v>11110000100</v>
      </c>
      <c r="E21" s="15"/>
      <c r="F21" s="15" t="str" cm="1">
        <f t="array" ref="F21">IF(F10&lt;&gt;0, AddOneToLeftOfBinary(F20), "0"&amp;F20)</f>
        <v>00111111010</v>
      </c>
      <c r="G21" s="15"/>
      <c r="I21" s="15" t="str" cm="1">
        <f t="array" ref="I21">IF(I10&lt;&gt;0, AddOneToLeftOfBinary(I20), "0"&amp;I20)</f>
        <v>11111101000</v>
      </c>
      <c r="J21" s="15"/>
      <c r="L21" s="3">
        <v>-19</v>
      </c>
      <c r="M21" s="10">
        <f t="shared" si="0"/>
        <v>1.9073486328125E-6</v>
      </c>
    </row>
    <row r="22" spans="1:29" ht="17.5" customHeight="1" x14ac:dyDescent="0.45">
      <c r="A22" s="2"/>
      <c r="B22" s="15" t="str" cm="1">
        <f t="array" ref="B22">InsertSpaceEvery4Chars(B21)</f>
        <v>110 1000 0111</v>
      </c>
      <c r="C22" s="15"/>
      <c r="D22" s="15" t="str" cm="1">
        <f t="array" ref="D22">InsertSpaceEvery4Chars(D21)</f>
        <v>111 1000 0100</v>
      </c>
      <c r="E22" s="15"/>
      <c r="F22" s="15" t="str" cm="1">
        <f t="array" ref="F22">InsertSpaceEvery4Chars(F21)</f>
        <v>001 1111 1010</v>
      </c>
      <c r="G22" s="15"/>
      <c r="I22" s="15" t="str" cm="1">
        <f t="array" ref="I22">InsertSpaceEvery4Chars(I21)</f>
        <v>111 1110 1000</v>
      </c>
      <c r="J22" s="15"/>
      <c r="L22" s="3">
        <v>-20</v>
      </c>
      <c r="M22" s="10">
        <f t="shared" si="0"/>
        <v>9.5367431640625E-7</v>
      </c>
      <c r="O22" s="2"/>
    </row>
    <row r="23" spans="1:29" ht="17.5" customHeight="1" x14ac:dyDescent="0.45">
      <c r="A23" s="2" t="s">
        <v>22</v>
      </c>
      <c r="B23" s="15" t="str" cm="1">
        <f t="array" ref="B23">BinPartsToHex(B21)</f>
        <v>687</v>
      </c>
      <c r="C23" s="15"/>
      <c r="D23" s="15" t="str" cm="1">
        <f t="array" ref="D23">BinPartsToHex(D21)</f>
        <v>784</v>
      </c>
      <c r="E23" s="15"/>
      <c r="F23" s="15" t="str" cm="1">
        <f t="array" ref="F23">BinPartsToHex(F21)</f>
        <v>1FA</v>
      </c>
      <c r="G23" s="15"/>
      <c r="I23" s="15" t="str" cm="1">
        <f t="array" ref="I23">BinPartsToHex(I21)</f>
        <v>7E8</v>
      </c>
      <c r="J23" s="15"/>
      <c r="L23" s="3">
        <v>-21</v>
      </c>
      <c r="M23" s="10">
        <f t="shared" si="0"/>
        <v>4.76837158203125E-7</v>
      </c>
    </row>
    <row r="24" spans="1:29" x14ac:dyDescent="0.45">
      <c r="A24" s="2"/>
      <c r="I24" s="2"/>
      <c r="L24" s="3">
        <v>-22</v>
      </c>
      <c r="M24" s="10">
        <f t="shared" si="0"/>
        <v>2.384185791015625E-7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7"/>
    </row>
    <row r="25" spans="1:29" ht="17.5" customHeight="1" x14ac:dyDescent="0.45">
      <c r="A25" s="2" t="s">
        <v>11</v>
      </c>
      <c r="B25" s="15" t="str" cm="1">
        <f t="array" ref="B25">AddThreeBitsToRight(B21)</f>
        <v>11010000111000</v>
      </c>
      <c r="C25" s="15"/>
      <c r="D25" s="15" t="str" cm="1">
        <f t="array" ref="D25">AddThreeBitsToRight(D21)</f>
        <v>11110000100000</v>
      </c>
      <c r="E25" s="15"/>
      <c r="F25" s="15" t="str" cm="1">
        <f t="array" ref="F25">AddThreeBitsToRight(F21)</f>
        <v>00111111010000</v>
      </c>
      <c r="G25" s="15"/>
      <c r="L25" s="3">
        <v>-23</v>
      </c>
      <c r="M25" s="10">
        <f t="shared" si="0"/>
        <v>1.1920928955078125E-7</v>
      </c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7"/>
    </row>
    <row r="26" spans="1:29" ht="17.5" customHeight="1" x14ac:dyDescent="0.45">
      <c r="A26" s="2"/>
      <c r="B26" s="15" t="str" cm="1">
        <f t="array" ref="B26">InsertSpaceEvery4Chars(B25)</f>
        <v>11 0100 0011 1000</v>
      </c>
      <c r="C26" s="15"/>
      <c r="D26" s="15" t="str" cm="1">
        <f t="array" ref="D26">InsertSpaceEvery4Chars(D25)</f>
        <v>11 1100 0010 0000</v>
      </c>
      <c r="E26" s="15"/>
      <c r="F26" s="15" t="str" cm="1">
        <f t="array" ref="F26">InsertSpaceEvery4Chars(F25)</f>
        <v>00 1111 1101 0000</v>
      </c>
      <c r="G26" s="15"/>
      <c r="L26" s="3">
        <v>-24</v>
      </c>
      <c r="M26" s="10">
        <f t="shared" si="0"/>
        <v>5.9604644775390625E-8</v>
      </c>
    </row>
    <row r="27" spans="1:29" ht="17.5" customHeight="1" x14ac:dyDescent="0.45">
      <c r="A27" s="2" t="s">
        <v>22</v>
      </c>
      <c r="B27" s="15" t="str" cm="1">
        <f t="array" ref="B27">BinPartsToHex(B26)</f>
        <v>3438</v>
      </c>
      <c r="C27" s="15"/>
      <c r="D27" s="15" t="str" cm="1">
        <f t="array" ref="D27">BinPartsToHex(D26)</f>
        <v>3C20</v>
      </c>
      <c r="E27" s="15"/>
      <c r="F27" s="15" t="str" cm="1">
        <f t="array" ref="F27">BinPartsToHex(F26)</f>
        <v>FD0</v>
      </c>
      <c r="G27" s="15"/>
      <c r="L27" s="3">
        <v>-25</v>
      </c>
      <c r="M27" s="10">
        <f t="shared" si="0"/>
        <v>2.9802322387695313E-8</v>
      </c>
    </row>
    <row r="28" spans="1:29" x14ac:dyDescent="0.45">
      <c r="A28" s="2"/>
      <c r="C28" s="2"/>
      <c r="D28" s="2"/>
      <c r="E28" s="2"/>
      <c r="F28" s="2"/>
      <c r="G28" s="2"/>
    </row>
    <row r="29" spans="1:29" ht="17.5" customHeight="1" x14ac:dyDescent="0.45">
      <c r="A29" s="2" t="s">
        <v>14</v>
      </c>
      <c r="B29" s="15" t="str" cm="1">
        <f t="array" ref="B29">RightShiftBinaryString(B25, B16)</f>
        <v>11010000111000</v>
      </c>
      <c r="C29" s="15"/>
      <c r="D29" s="15" t="str" cm="1">
        <f t="array" ref="D29">RightShiftBinaryString(D25, D16)</f>
        <v>11110000100000</v>
      </c>
      <c r="E29" s="15"/>
      <c r="F29" s="2"/>
      <c r="G29" s="2"/>
      <c r="I29" s="11"/>
      <c r="J29" s="11"/>
    </row>
    <row r="30" spans="1:29" x14ac:dyDescent="0.45">
      <c r="A30" s="8" t="s">
        <v>32</v>
      </c>
      <c r="B30" s="15" t="str" cm="1">
        <f t="array" ref="B30">InsertSpaceEvery4Chars(B29)</f>
        <v>11 0100 0011 1000</v>
      </c>
      <c r="C30" s="15"/>
      <c r="D30" s="15" t="str" cm="1">
        <f t="array" ref="D30">InsertSpaceEvery4Chars(D29)</f>
        <v>11 1100 0010 0000</v>
      </c>
      <c r="E30" s="15"/>
      <c r="F30" s="2"/>
      <c r="G30" s="2"/>
    </row>
    <row r="31" spans="1:29" x14ac:dyDescent="0.45">
      <c r="A31" s="2" t="s">
        <v>22</v>
      </c>
      <c r="B31" s="15" t="str" cm="1">
        <f t="array" ref="B31">BinPartsToHex(B29)</f>
        <v>3438</v>
      </c>
      <c r="C31" s="15"/>
      <c r="D31" s="15" t="str" cm="1">
        <f t="array" ref="D31">BinPartsToHex(D29)</f>
        <v>3C20</v>
      </c>
      <c r="E31" s="15"/>
      <c r="F31" s="2"/>
      <c r="G31" s="2"/>
    </row>
    <row r="32" spans="1:29" ht="17.5" customHeight="1" x14ac:dyDescent="0.45">
      <c r="A32" s="2"/>
      <c r="B32" s="15"/>
      <c r="C32" s="15"/>
      <c r="D32" s="2"/>
      <c r="E32" s="2"/>
      <c r="F32" s="2"/>
      <c r="G32" s="2"/>
    </row>
    <row r="33" spans="1:10" ht="17.5" customHeight="1" x14ac:dyDescent="0.45">
      <c r="A33" s="2"/>
      <c r="B33" s="14"/>
      <c r="C33" s="14"/>
    </row>
    <row r="34" spans="1:10" ht="17.5" customHeight="1" x14ac:dyDescent="0.45">
      <c r="A34" s="2" t="s">
        <v>15</v>
      </c>
      <c r="B34" s="15" t="str" cm="1">
        <f t="array" ref="B34">TwosComplement(B29)</f>
        <v>00101111001000</v>
      </c>
      <c r="C34" s="15"/>
      <c r="D34" s="15" t="str" cm="1">
        <f t="array" ref="D34">TwosComplement(D29)</f>
        <v>00001111100000</v>
      </c>
      <c r="E34" s="15"/>
      <c r="H34" s="2" t="s">
        <v>0</v>
      </c>
      <c r="J34" s="4" t="s">
        <v>35</v>
      </c>
    </row>
    <row r="35" spans="1:10" ht="17.5" customHeight="1" x14ac:dyDescent="0.45">
      <c r="A35" s="2"/>
      <c r="B35" s="15" t="str" cm="1">
        <f t="array" ref="B35">InsertSpaceEvery4Chars(B34)</f>
        <v>00 1011 1100 1000</v>
      </c>
      <c r="C35" s="15"/>
      <c r="D35" s="15" t="str" cm="1">
        <f t="array" ref="D35">InsertSpaceEvery4Chars(D34)</f>
        <v>00 0011 1110 0000</v>
      </c>
      <c r="E35" s="15"/>
      <c r="H35" s="2" t="s">
        <v>1</v>
      </c>
      <c r="J35" s="2" t="str" cm="1">
        <f t="array" ref="J35">(MY_HEX2BIN(J34))</f>
        <v>0100001111001001</v>
      </c>
    </row>
    <row r="36" spans="1:10" x14ac:dyDescent="0.45">
      <c r="A36" s="2" t="s">
        <v>22</v>
      </c>
      <c r="C36" s="2" t="str" cm="1">
        <f t="array" ref="C36">BinPartsToHex(B35)</f>
        <v>BC8</v>
      </c>
      <c r="D36" s="2"/>
      <c r="E36" s="2" t="str" cm="1">
        <f t="array" ref="E36">BinPartsToHex(D35)</f>
        <v>3E0</v>
      </c>
      <c r="F36" s="2"/>
      <c r="G36" s="2" t="str" cm="1">
        <f t="array" ref="G36">BinPartsToHex(F35)</f>
        <v/>
      </c>
      <c r="J36" s="2" t="str" cm="1">
        <f t="array" ref="J36">InsertSpaceEvery4Chars(J35)</f>
        <v>0100 0011 1100 1001</v>
      </c>
    </row>
    <row r="37" spans="1:10" x14ac:dyDescent="0.45">
      <c r="A37" s="2"/>
    </row>
    <row r="38" spans="1:10" ht="17.5" customHeight="1" x14ac:dyDescent="0.45">
      <c r="A38" s="2" t="s">
        <v>13</v>
      </c>
      <c r="B38" s="15" t="str" cm="1">
        <f t="array" ref="B38">BinaryAdder(B34, D29)</f>
        <v>100011111101000</v>
      </c>
      <c r="C38" s="15"/>
      <c r="D38" s="2"/>
    </row>
    <row r="39" spans="1:10" x14ac:dyDescent="0.45">
      <c r="A39" s="2"/>
      <c r="C39" s="2" t="str" cm="1">
        <f t="array" ref="C39">InsertSpaceEvery4Chars(B38)</f>
        <v>100 0111 1110 1000</v>
      </c>
      <c r="D39" s="2"/>
    </row>
    <row r="40" spans="1:10" x14ac:dyDescent="0.45">
      <c r="A40" s="2" t="s">
        <v>22</v>
      </c>
      <c r="C40" s="2" t="str" cm="1">
        <f t="array" ref="C40">BinPartsToHex(C39)</f>
        <v>47E8</v>
      </c>
      <c r="D40" s="2"/>
    </row>
    <row r="41" spans="1:10" x14ac:dyDescent="0.45">
      <c r="A41" s="2"/>
      <c r="C41" s="2"/>
      <c r="D41" s="2"/>
    </row>
    <row r="42" spans="1:10" x14ac:dyDescent="0.45">
      <c r="A42" s="2" t="s">
        <v>23</v>
      </c>
      <c r="C42" s="2" cm="1">
        <f t="array" ref="C42">FindFirstOnePosition(B38)-1</f>
        <v>0</v>
      </c>
      <c r="D42" s="2"/>
    </row>
    <row r="43" spans="1:10" x14ac:dyDescent="0.45">
      <c r="A43" s="2"/>
      <c r="C43" s="2"/>
      <c r="D43" s="2"/>
    </row>
    <row r="44" spans="1:10" ht="17.5" customHeight="1" x14ac:dyDescent="0.45">
      <c r="A44" s="2" t="s">
        <v>16</v>
      </c>
      <c r="B44" s="15" t="str" cm="1">
        <f t="array" ref="B44">RightShiftBinaryString(B38, C42)</f>
        <v>100011111101000</v>
      </c>
      <c r="C44" s="15"/>
      <c r="D44" s="14" t="s">
        <v>34</v>
      </c>
      <c r="E44" s="14"/>
    </row>
    <row r="45" spans="1:10" ht="17.5" customHeight="1" x14ac:dyDescent="0.45">
      <c r="A45" s="2"/>
      <c r="B45" s="15" t="str" cm="1">
        <f t="array" ref="B45">InsertSpaceEvery4Chars(B44)</f>
        <v>100 0111 1110 1000</v>
      </c>
      <c r="C45" s="15"/>
      <c r="D45" s="15" t="str" cm="1">
        <f t="array" ref="D45">InsertSpaceEvery4Chars(D44)</f>
        <v>10 1111 0101 1100</v>
      </c>
      <c r="E45" s="15"/>
    </row>
    <row r="46" spans="1:10" x14ac:dyDescent="0.45">
      <c r="A46" s="2" t="s">
        <v>22</v>
      </c>
      <c r="C46" s="2" t="str" cm="1">
        <f t="array" ref="C46">BinPartsToHex(B45)</f>
        <v>47E8</v>
      </c>
      <c r="D46" s="2"/>
      <c r="E46" s="2" t="str" cm="1">
        <f t="array" ref="E46">BinPartsToHex(D45)</f>
        <v>2F5C</v>
      </c>
    </row>
    <row r="47" spans="1:10" x14ac:dyDescent="0.45">
      <c r="A47" s="2"/>
    </row>
    <row r="48" spans="1:10" x14ac:dyDescent="0.45">
      <c r="A48" s="2" t="s">
        <v>12</v>
      </c>
      <c r="B48" s="1"/>
      <c r="C48" s="2" t="str">
        <f>MID(RIGHT(B44, 4), 1, 1)</f>
        <v>1</v>
      </c>
      <c r="E48" s="2" t="str">
        <f>MID(RIGHT(D44, 4), 1, 1)</f>
        <v>1</v>
      </c>
    </row>
    <row r="49" spans="1:5" x14ac:dyDescent="0.45">
      <c r="A49" s="2" t="s">
        <v>7</v>
      </c>
      <c r="B49" s="1"/>
      <c r="C49" s="2" t="str">
        <f>MID(RIGHT(B44, 3), 1, 1)</f>
        <v>0</v>
      </c>
      <c r="D49" s="2"/>
      <c r="E49" s="2" t="str">
        <f>MID(RIGHT(D44, 3), 1, 1)</f>
        <v>1</v>
      </c>
    </row>
    <row r="50" spans="1:5" x14ac:dyDescent="0.45">
      <c r="A50" s="2" t="s">
        <v>8</v>
      </c>
      <c r="B50" s="1"/>
      <c r="C50" s="2" t="str">
        <f>MID(RIGHT(B44, 2), 1, 1)</f>
        <v>0</v>
      </c>
      <c r="D50" s="2"/>
      <c r="E50" s="2" t="str">
        <f>MID(RIGHT(D44, 2), 1, 1)</f>
        <v>0</v>
      </c>
    </row>
    <row r="51" spans="1:5" x14ac:dyDescent="0.45">
      <c r="A51" s="2" t="s">
        <v>9</v>
      </c>
      <c r="B51" s="1"/>
      <c r="C51" s="2" t="str">
        <f>MID(RIGHT(B44, 1), 1, 1)</f>
        <v>0</v>
      </c>
      <c r="D51" s="2"/>
      <c r="E51" s="2" t="str">
        <f>MID(RIGHT(D44, 1), 1, 1)</f>
        <v>0</v>
      </c>
    </row>
    <row r="52" spans="1:5" x14ac:dyDescent="0.45">
      <c r="A52" s="2"/>
    </row>
    <row r="53" spans="1:5" x14ac:dyDescent="0.45">
      <c r="A53" s="2" t="s">
        <v>24</v>
      </c>
      <c r="C53" s="2" t="str" cm="1">
        <f t="array" ref="C53">AlignBitsBin(B44,C48,C49,C50,C51)</f>
        <v>10001111110</v>
      </c>
      <c r="D53" s="2"/>
      <c r="E53" s="2" t="str" cm="1">
        <f t="array" ref="E53">AlignBitsBin(D44,E48,E49,E50,E51)</f>
        <v>10111101100</v>
      </c>
    </row>
    <row r="54" spans="1:5" x14ac:dyDescent="0.45">
      <c r="C54" s="2" t="str" cm="1">
        <f t="array" ref="C54">InsertSpaceEvery4Chars(C53)</f>
        <v>100 0111 1110</v>
      </c>
      <c r="D54" s="2"/>
      <c r="E54" s="2" t="str" cm="1">
        <f t="array" ref="E54">InsertSpaceEvery4Chars(E53)</f>
        <v>101 1110 1100</v>
      </c>
    </row>
    <row r="55" spans="1:5" x14ac:dyDescent="0.45">
      <c r="A55" s="2" t="s">
        <v>22</v>
      </c>
      <c r="C55" s="2" t="str" cm="1">
        <f t="array" ref="C55">BinPartsToHex(C54)</f>
        <v>47E</v>
      </c>
      <c r="D55" s="2"/>
      <c r="E55" s="2" t="str" cm="1">
        <f t="array" ref="E55">BinPartsToHex(E54)</f>
        <v>5EC</v>
      </c>
    </row>
    <row r="58" spans="1:5" x14ac:dyDescent="0.45">
      <c r="A58" s="2" t="s">
        <v>25</v>
      </c>
    </row>
    <row r="59" spans="1:5" x14ac:dyDescent="0.45">
      <c r="A59" s="2" t="s">
        <v>26</v>
      </c>
    </row>
    <row r="60" spans="1:5" x14ac:dyDescent="0.45">
      <c r="A60" s="2" t="s">
        <v>27</v>
      </c>
    </row>
  </sheetData>
  <mergeCells count="90">
    <mergeCell ref="I15:J15"/>
    <mergeCell ref="I20:J20"/>
    <mergeCell ref="I21:J21"/>
    <mergeCell ref="I22:J22"/>
    <mergeCell ref="I23:J23"/>
    <mergeCell ref="I13:J13"/>
    <mergeCell ref="F8:G8"/>
    <mergeCell ref="B8:C8"/>
    <mergeCell ref="B20:C20"/>
    <mergeCell ref="B15:C15"/>
    <mergeCell ref="D15:E15"/>
    <mergeCell ref="F15:G15"/>
    <mergeCell ref="D18:E18"/>
    <mergeCell ref="F20:G20"/>
    <mergeCell ref="I18:J18"/>
    <mergeCell ref="I8:J8"/>
    <mergeCell ref="D8:E8"/>
    <mergeCell ref="B13:C13"/>
    <mergeCell ref="D13:E13"/>
    <mergeCell ref="B17:C17"/>
    <mergeCell ref="D17:E17"/>
    <mergeCell ref="B29:C29"/>
    <mergeCell ref="D29:E29"/>
    <mergeCell ref="B30:C30"/>
    <mergeCell ref="D30:E30"/>
    <mergeCell ref="B25:C25"/>
    <mergeCell ref="B26:C26"/>
    <mergeCell ref="B27:C27"/>
    <mergeCell ref="D25:E25"/>
    <mergeCell ref="D26:E26"/>
    <mergeCell ref="D27:E27"/>
    <mergeCell ref="D31:E31"/>
    <mergeCell ref="F25:G25"/>
    <mergeCell ref="F26:G26"/>
    <mergeCell ref="F27:G27"/>
    <mergeCell ref="F13:G13"/>
    <mergeCell ref="D16:E16"/>
    <mergeCell ref="F18:G18"/>
    <mergeCell ref="D23:E23"/>
    <mergeCell ref="F23:G23"/>
    <mergeCell ref="F22:G22"/>
    <mergeCell ref="F21:G21"/>
    <mergeCell ref="D21:E21"/>
    <mergeCell ref="D22:E22"/>
    <mergeCell ref="I1:J1"/>
    <mergeCell ref="I2:J2"/>
    <mergeCell ref="I5:J5"/>
    <mergeCell ref="I6:J6"/>
    <mergeCell ref="I7:J7"/>
    <mergeCell ref="I4:J4"/>
    <mergeCell ref="I3:J3"/>
    <mergeCell ref="B6:C6"/>
    <mergeCell ref="B7:C7"/>
    <mergeCell ref="F6:G6"/>
    <mergeCell ref="F7:G7"/>
    <mergeCell ref="B21:C21"/>
    <mergeCell ref="D7:E7"/>
    <mergeCell ref="D6:E6"/>
    <mergeCell ref="B16:C16"/>
    <mergeCell ref="F1:G1"/>
    <mergeCell ref="D2:E2"/>
    <mergeCell ref="D5:E5"/>
    <mergeCell ref="B2:C2"/>
    <mergeCell ref="B5:C5"/>
    <mergeCell ref="D4:E4"/>
    <mergeCell ref="F4:G4"/>
    <mergeCell ref="F2:G2"/>
    <mergeCell ref="F5:G5"/>
    <mergeCell ref="B1:C1"/>
    <mergeCell ref="D1:E1"/>
    <mergeCell ref="B3:C3"/>
    <mergeCell ref="D3:E3"/>
    <mergeCell ref="B4:C4"/>
    <mergeCell ref="F3:G3"/>
    <mergeCell ref="D44:E44"/>
    <mergeCell ref="D45:E45"/>
    <mergeCell ref="B44:C44"/>
    <mergeCell ref="B45:C45"/>
    <mergeCell ref="B18:C18"/>
    <mergeCell ref="B32:C32"/>
    <mergeCell ref="B33:C33"/>
    <mergeCell ref="B38:C38"/>
    <mergeCell ref="B35:C35"/>
    <mergeCell ref="B31:C31"/>
    <mergeCell ref="B23:C23"/>
    <mergeCell ref="D35:E35"/>
    <mergeCell ref="B34:C34"/>
    <mergeCell ref="D34:E34"/>
    <mergeCell ref="B22:C22"/>
    <mergeCell ref="D20:E20"/>
  </mergeCells>
  <phoneticPr fontId="1" type="noConversion"/>
  <conditionalFormatting sqref="B13:G13">
    <cfRule type="cellIs" dxfId="5" priority="11" operator="equal">
      <formula>"NaN"</formula>
    </cfRule>
    <cfRule type="cellIs" dxfId="4" priority="12" operator="equal">
      <formula>"Denormal"</formula>
    </cfRule>
  </conditionalFormatting>
  <conditionalFormatting sqref="B13:G13">
    <cfRule type="cellIs" dxfId="3" priority="10" operator="equal">
      <formula>"Infinite"</formula>
    </cfRule>
  </conditionalFormatting>
  <conditionalFormatting sqref="I13:J13">
    <cfRule type="cellIs" dxfId="2" priority="2" operator="equal">
      <formula>"NaN"</formula>
    </cfRule>
    <cfRule type="cellIs" dxfId="1" priority="3" operator="equal">
      <formula>"Denormal"</formula>
    </cfRule>
  </conditionalFormatting>
  <conditionalFormatting sqref="I13:J13">
    <cfRule type="cellIs" dxfId="0" priority="1" operator="equal">
      <formula>"Infinite"</formula>
    </cfRule>
  </conditionalFormatting>
  <pageMargins left="0.7" right="0.7" top="0.75" bottom="0.75" header="0.3" footer="0.3"/>
  <pageSetup paperSize="9" orientation="portrait" r:id="rId1"/>
  <ignoredErrors>
    <ignoredError sqref="C2 E2 G2 D44" numberStoredAsText="1"/>
    <ignoredError sqref="C9:C11 E9:E11 D9:D11 F9:F11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35C1D-419C-4E91-ABBF-91E250959076}">
  <dimension ref="A1"/>
  <sheetViews>
    <sheetView workbookViewId="0">
      <selection activeCell="F9" sqref="F9"/>
    </sheetView>
  </sheetViews>
  <sheetFormatPr defaultRowHeight="17.5" x14ac:dyDescent="0.4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Simulator_Of_F16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이주홍</dc:creator>
  <cp:lastModifiedBy>이주홍</cp:lastModifiedBy>
  <dcterms:created xsi:type="dcterms:W3CDTF">2025-04-16T06:41:15Z</dcterms:created>
  <dcterms:modified xsi:type="dcterms:W3CDTF">2025-04-28T02:34:50Z</dcterms:modified>
</cp:coreProperties>
</file>