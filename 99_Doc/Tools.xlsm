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https://sejonguniversity-my.sharepoint.com/personal/ljooh2_sju_ac_kr/Documents/03_FP_Arithmetic/99_Doc/"/>
    </mc:Choice>
  </mc:AlternateContent>
  <xr:revisionPtr revIDLastSave="4125" documentId="8_{42A683ED-67DE-41DF-8BBB-F24C8555AF88}" xr6:coauthVersionLast="47" xr6:coauthVersionMax="47" xr10:uidLastSave="{1691B303-73B7-463F-AD1C-3DDB20E3A3EC}"/>
  <bookViews>
    <workbookView xWindow="-110" yWindow="-110" windowWidth="38620" windowHeight="21220" tabRatio="755" activeTab="4" xr2:uid="{D736C5B2-B3C8-46EC-9F19-601B27F7379F}"/>
  </bookViews>
  <sheets>
    <sheet name="Sim_of_F16_Adder_GRS" sheetId="1" r:id="rId1"/>
    <sheet name="Sim_of_F16_Adder_No_GRS" sheetId="8" r:id="rId2"/>
    <sheet name="Sim_of_F16_Multiplier_GRS" sheetId="2" r:id="rId3"/>
    <sheet name="Sim_of_F16_Multiplier_No_GRS" sheetId="10" r:id="rId4"/>
    <sheet name="Sim_of_F16_Fmac_No_GRS" sheetId="11" r:id="rId5"/>
    <sheet name="Normal" sheetId="9" r:id="rId6"/>
    <sheet name="Etc_01" sheetId="6" r:id="rId7"/>
    <sheet name="Etc_02" sheetId="5" r:id="rId8"/>
    <sheet name="Sheet1" sheetId="7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2" i="11" l="1"/>
  <c r="Q41" i="11"/>
  <c r="Q40" i="11"/>
  <c r="Q39" i="11"/>
  <c r="Q38" i="11"/>
  <c r="Q37" i="11"/>
  <c r="Q36" i="11"/>
  <c r="Q35" i="11"/>
  <c r="Q34" i="11"/>
  <c r="Q33" i="11"/>
  <c r="Q32" i="11"/>
  <c r="Q31" i="11"/>
  <c r="Q30" i="11"/>
  <c r="Q29" i="11"/>
  <c r="Q28" i="11"/>
  <c r="Q27" i="11"/>
  <c r="Q26" i="11"/>
  <c r="Q25" i="11"/>
  <c r="Q24" i="11"/>
  <c r="Q23" i="11"/>
  <c r="Q22" i="11"/>
  <c r="Q21" i="11"/>
  <c r="Q20" i="11"/>
  <c r="Q19" i="11"/>
  <c r="Q18" i="11"/>
  <c r="Q17" i="11"/>
  <c r="Q16" i="11"/>
  <c r="Q15" i="11"/>
  <c r="Q14" i="11"/>
  <c r="Q13" i="11"/>
  <c r="Q12" i="11"/>
  <c r="Q11" i="11"/>
  <c r="Q10" i="11"/>
  <c r="Q9" i="11"/>
  <c r="Q8" i="11"/>
  <c r="Q7" i="11"/>
  <c r="Q6" i="11"/>
  <c r="Q5" i="11"/>
  <c r="Q4" i="11"/>
  <c r="Q3" i="11"/>
  <c r="Q2" i="11"/>
  <c r="M42" i="10"/>
  <c r="M41" i="10"/>
  <c r="M40" i="10"/>
  <c r="M39" i="10"/>
  <c r="M38" i="10"/>
  <c r="M37" i="10"/>
  <c r="M36" i="10"/>
  <c r="M35" i="10"/>
  <c r="M34" i="10"/>
  <c r="M33" i="10"/>
  <c r="M32" i="10"/>
  <c r="M31" i="10"/>
  <c r="M30" i="10"/>
  <c r="M29" i="10"/>
  <c r="M28" i="10"/>
  <c r="M27" i="10"/>
  <c r="M26" i="10"/>
  <c r="M25" i="10"/>
  <c r="M24" i="10"/>
  <c r="M23" i="10"/>
  <c r="M22" i="10"/>
  <c r="M21" i="10"/>
  <c r="M20" i="10"/>
  <c r="M19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M6" i="10"/>
  <c r="M5" i="10"/>
  <c r="M4" i="10"/>
  <c r="M3" i="10"/>
  <c r="M2" i="10"/>
  <c r="D9" i="9"/>
  <c r="C16" i="9"/>
  <c r="I16" i="9" s="1"/>
  <c r="C17" i="9"/>
  <c r="I17" i="9" s="1"/>
  <c r="C18" i="9"/>
  <c r="I18" i="9" s="1"/>
  <c r="C19" i="9"/>
  <c r="I19" i="9" s="1"/>
  <c r="C20" i="9"/>
  <c r="H20" i="9" s="1"/>
  <c r="C21" i="9"/>
  <c r="I21" i="9" s="1"/>
  <c r="C22" i="9"/>
  <c r="I22" i="9" s="1"/>
  <c r="C23" i="9"/>
  <c r="I23" i="9" s="1"/>
  <c r="C24" i="9"/>
  <c r="I24" i="9" s="1"/>
  <c r="C25" i="9"/>
  <c r="I25" i="9" s="1"/>
  <c r="C26" i="9"/>
  <c r="I26" i="9" s="1"/>
  <c r="C27" i="9"/>
  <c r="I27" i="9" s="1"/>
  <c r="C28" i="9"/>
  <c r="C29" i="9"/>
  <c r="I29" i="9" s="1"/>
  <c r="C30" i="9"/>
  <c r="I30" i="9" s="1"/>
  <c r="C31" i="9"/>
  <c r="I31" i="9" s="1"/>
  <c r="C32" i="9"/>
  <c r="I32" i="9" s="1"/>
  <c r="C33" i="9"/>
  <c r="H33" i="9" s="1"/>
  <c r="C34" i="9"/>
  <c r="I34" i="9" s="1"/>
  <c r="C35" i="9"/>
  <c r="I35" i="9" s="1"/>
  <c r="C36" i="9"/>
  <c r="I36" i="9" s="1"/>
  <c r="C37" i="9"/>
  <c r="I37" i="9" s="1"/>
  <c r="C38" i="9"/>
  <c r="I38" i="9" s="1"/>
  <c r="C39" i="9"/>
  <c r="I39" i="9" s="1"/>
  <c r="C40" i="9"/>
  <c r="I40" i="9" s="1"/>
  <c r="C41" i="9"/>
  <c r="H41" i="9" s="1"/>
  <c r="C42" i="9"/>
  <c r="I42" i="9" s="1"/>
  <c r="C43" i="9"/>
  <c r="I43" i="9" s="1"/>
  <c r="C44" i="9"/>
  <c r="H44" i="9" s="1"/>
  <c r="C45" i="9"/>
  <c r="I45" i="9" s="1"/>
  <c r="C15" i="9"/>
  <c r="H15" i="9" s="1"/>
  <c r="B18" i="9"/>
  <c r="B19" i="9" s="1"/>
  <c r="B20" i="9" s="1"/>
  <c r="B21" i="9" s="1"/>
  <c r="B22" i="9" s="1"/>
  <c r="B23" i="9" s="1"/>
  <c r="B24" i="9" s="1"/>
  <c r="B25" i="9" s="1"/>
  <c r="B26" i="9" s="1"/>
  <c r="B27" i="9" s="1"/>
  <c r="B28" i="9" s="1"/>
  <c r="B29" i="9" s="1"/>
  <c r="B30" i="9" s="1"/>
  <c r="B31" i="9" s="1"/>
  <c r="B32" i="9" s="1"/>
  <c r="B33" i="9" s="1"/>
  <c r="B34" i="9" s="1"/>
  <c r="B35" i="9" s="1"/>
  <c r="B36" i="9" s="1"/>
  <c r="B37" i="9" s="1"/>
  <c r="B38" i="9" s="1"/>
  <c r="B39" i="9" s="1"/>
  <c r="B40" i="9" s="1"/>
  <c r="B41" i="9" s="1"/>
  <c r="B42" i="9" s="1"/>
  <c r="B43" i="9" s="1"/>
  <c r="B44" i="9" s="1"/>
  <c r="B45" i="9" s="1"/>
  <c r="B46" i="9" s="1"/>
  <c r="B17" i="9"/>
  <c r="B16" i="9"/>
  <c r="B15" i="9"/>
  <c r="F9" i="9"/>
  <c r="E9" i="9"/>
  <c r="E6" i="9"/>
  <c r="I28" i="9"/>
  <c r="I15" i="9"/>
  <c r="H28" i="9"/>
  <c r="H40" i="9"/>
  <c r="H16" i="9"/>
  <c r="J3" i="9"/>
  <c r="C6" i="9"/>
  <c r="C9" i="9" s="1"/>
  <c r="G3" i="9"/>
  <c r="E52" i="8"/>
  <c r="E51" i="8"/>
  <c r="E50" i="8"/>
  <c r="E49" i="8"/>
  <c r="E43" i="6"/>
  <c r="E42" i="6"/>
  <c r="E41" i="6"/>
  <c r="E40" i="6"/>
  <c r="E39" i="6"/>
  <c r="E38" i="6"/>
  <c r="E37" i="6"/>
  <c r="E36" i="6"/>
  <c r="E35" i="6"/>
  <c r="E34" i="6"/>
  <c r="E33" i="6"/>
  <c r="E32" i="6"/>
  <c r="E31" i="6"/>
  <c r="E30" i="6"/>
  <c r="E29" i="6"/>
  <c r="E28" i="6"/>
  <c r="E27" i="6"/>
  <c r="E26" i="6"/>
  <c r="E25" i="6"/>
  <c r="E24" i="6"/>
  <c r="E23" i="6"/>
  <c r="E22" i="6"/>
  <c r="E21" i="6"/>
  <c r="E20" i="6"/>
  <c r="E19" i="6"/>
  <c r="E18" i="6"/>
  <c r="E17" i="6"/>
  <c r="E16" i="6"/>
  <c r="E15" i="6"/>
  <c r="E14" i="6"/>
  <c r="E13" i="6"/>
  <c r="E12" i="6"/>
  <c r="E11" i="6"/>
  <c r="E10" i="6"/>
  <c r="E9" i="6"/>
  <c r="E8" i="6"/>
  <c r="E7" i="6"/>
  <c r="E6" i="6"/>
  <c r="E5" i="6"/>
  <c r="E4" i="6"/>
  <c r="E3" i="6"/>
  <c r="M42" i="2"/>
  <c r="M40" i="2"/>
  <c r="M41" i="2"/>
  <c r="M28" i="2"/>
  <c r="M29" i="2"/>
  <c r="M30" i="2"/>
  <c r="M31" i="2"/>
  <c r="M32" i="2"/>
  <c r="M33" i="2"/>
  <c r="M34" i="2"/>
  <c r="M35" i="2"/>
  <c r="M36" i="2"/>
  <c r="M37" i="2"/>
  <c r="M38" i="2"/>
  <c r="M39" i="2"/>
  <c r="M14" i="2"/>
  <c r="M15" i="2"/>
  <c r="M16" i="2"/>
  <c r="M17" i="2"/>
  <c r="M18" i="2"/>
  <c r="M19" i="2"/>
  <c r="M20" i="2"/>
  <c r="M21" i="2"/>
  <c r="M22" i="2"/>
  <c r="M23" i="2"/>
  <c r="M24" i="2"/>
  <c r="M27" i="2"/>
  <c r="M26" i="2"/>
  <c r="M25" i="2"/>
  <c r="M13" i="2"/>
  <c r="M12" i="2"/>
  <c r="M11" i="2"/>
  <c r="M10" i="2"/>
  <c r="M9" i="2"/>
  <c r="M8" i="2"/>
  <c r="M7" i="2"/>
  <c r="M6" i="2"/>
  <c r="M5" i="2"/>
  <c r="M4" i="2"/>
  <c r="M3" i="2"/>
  <c r="M2" i="2"/>
  <c r="M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36" i="1"/>
  <c r="M37" i="1"/>
  <c r="M38" i="1"/>
  <c r="M39" i="1"/>
  <c r="M40" i="1"/>
  <c r="M41" i="1"/>
  <c r="E52" i="1"/>
  <c r="E51" i="1"/>
  <c r="E50" i="1"/>
  <c r="E49" i="1"/>
  <c r="M34" i="1"/>
  <c r="M35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18" i="1"/>
  <c r="J37" i="10" a="1"/>
  <c r="B3" i="10" a="1"/>
  <c r="E54" i="8" a="1"/>
  <c r="D5" i="2" a="1"/>
  <c r="D46" i="8" a="1"/>
  <c r="B3" i="2" a="1"/>
  <c r="B5" i="8" a="1"/>
  <c r="D3" i="1" a="1"/>
  <c r="I3" i="10" a="1"/>
  <c r="F3" i="8" a="1"/>
  <c r="D3" i="2" a="1"/>
  <c r="D5" i="8" a="1"/>
  <c r="E54" i="1" a="1"/>
  <c r="B5" i="10" a="1"/>
  <c r="D3" i="10" a="1"/>
  <c r="I5" i="1" a="1"/>
  <c r="F3" i="10" a="1"/>
  <c r="B5" i="1" a="1"/>
  <c r="I5" i="10" a="1"/>
  <c r="B3" i="8" a="1"/>
  <c r="I5" i="2" a="1"/>
  <c r="F5" i="1" a="1"/>
  <c r="I3" i="8" a="1"/>
  <c r="G37" i="8" a="1"/>
  <c r="D3" i="8" a="1"/>
  <c r="F3" i="1" a="1"/>
  <c r="I3" i="2" a="1"/>
  <c r="I5" i="8" a="1"/>
  <c r="F5" i="8" a="1"/>
  <c r="F5" i="10" a="1"/>
  <c r="F5" i="2" a="1"/>
  <c r="J37" i="2" a="1"/>
  <c r="D5" i="1" a="1"/>
  <c r="D46" i="1" a="1"/>
  <c r="I3" i="1" a="1"/>
  <c r="F3" i="2" a="1"/>
  <c r="B5" i="2" a="1"/>
  <c r="D5" i="10" a="1"/>
  <c r="B3" i="1" a="1"/>
  <c r="G37" i="1" a="1"/>
  <c r="G30" i="9" a="1"/>
  <c r="G23" i="9" a="1"/>
  <c r="G27" i="9" a="1"/>
  <c r="G45" i="9" a="1"/>
  <c r="G37" i="9" a="1"/>
  <c r="G18" i="9" a="1"/>
  <c r="G43" i="9" a="1"/>
  <c r="G42" i="9" a="1"/>
  <c r="G24" i="9" a="1"/>
  <c r="G33" i="9" a="1"/>
  <c r="G34" i="9" a="1"/>
  <c r="G35" i="9" a="1"/>
  <c r="G39" i="9" a="1"/>
  <c r="G21" i="9" a="1"/>
  <c r="G40" i="9" a="1"/>
  <c r="G44" i="9" a="1"/>
  <c r="G41" i="9" a="1"/>
  <c r="G22" i="9" a="1"/>
  <c r="G26" i="9" a="1"/>
  <c r="G17" i="9" a="1"/>
  <c r="G15" i="9" a="1"/>
  <c r="I3" i="9" a="1"/>
  <c r="G29" i="9" a="1"/>
  <c r="G20" i="9" a="1"/>
  <c r="G31" i="9" a="1"/>
  <c r="G16" i="9" a="1"/>
  <c r="G25" i="9" a="1"/>
  <c r="G32" i="9" a="1"/>
  <c r="G19" i="9" a="1"/>
  <c r="G38" i="9" a="1"/>
  <c r="G36" i="9" a="1"/>
  <c r="G28" i="9" a="1"/>
  <c r="N37" i="11" a="1"/>
  <c r="H5" i="11" a="1"/>
  <c r="M3" i="11" a="1"/>
  <c r="M5" i="11" a="1"/>
  <c r="J3" i="11" a="1"/>
  <c r="J5" i="11" a="1"/>
  <c r="F5" i="11" a="1"/>
  <c r="F3" i="11" a="1"/>
  <c r="D5" i="11" a="1"/>
  <c r="D3" i="11" a="1"/>
  <c r="B5" i="11" a="1"/>
  <c r="B3" i="11" a="1"/>
  <c r="H36" i="9" l="1"/>
  <c r="H32" i="9"/>
  <c r="I44" i="9"/>
  <c r="H24" i="9"/>
  <c r="I20" i="9"/>
  <c r="H5" i="11"/>
  <c r="F3" i="11"/>
  <c r="F5" i="11"/>
  <c r="N37" i="11"/>
  <c r="M3" i="11"/>
  <c r="J5" i="11"/>
  <c r="M5" i="11"/>
  <c r="D3" i="11"/>
  <c r="B5" i="11"/>
  <c r="B3" i="11"/>
  <c r="J3" i="11"/>
  <c r="D5" i="11"/>
  <c r="B3" i="10"/>
  <c r="F5" i="10"/>
  <c r="I5" i="10"/>
  <c r="I3" i="10"/>
  <c r="D3" i="10"/>
  <c r="B5" i="10"/>
  <c r="J37" i="10"/>
  <c r="F3" i="10"/>
  <c r="D5" i="10"/>
  <c r="H25" i="9"/>
  <c r="H42" i="9"/>
  <c r="H31" i="9"/>
  <c r="H30" i="9"/>
  <c r="H35" i="9"/>
  <c r="H39" i="9"/>
  <c r="H34" i="9"/>
  <c r="H17" i="9"/>
  <c r="H43" i="9"/>
  <c r="H38" i="9"/>
  <c r="H27" i="9"/>
  <c r="I41" i="9"/>
  <c r="I33" i="9"/>
  <c r="H21" i="9"/>
  <c r="H45" i="9"/>
  <c r="H37" i="9"/>
  <c r="H29" i="9"/>
  <c r="H23" i="9"/>
  <c r="H19" i="9"/>
  <c r="H26" i="9"/>
  <c r="H22" i="9"/>
  <c r="H18" i="9"/>
  <c r="I3" i="9"/>
  <c r="G15" i="9"/>
  <c r="G43" i="9"/>
  <c r="G41" i="9"/>
  <c r="G39" i="9"/>
  <c r="G37" i="9"/>
  <c r="G35" i="9"/>
  <c r="G33" i="9"/>
  <c r="G31" i="9"/>
  <c r="G29" i="9"/>
  <c r="G27" i="9"/>
  <c r="G45" i="9"/>
  <c r="G44" i="9"/>
  <c r="G42" i="9"/>
  <c r="G40" i="9"/>
  <c r="G38" i="9"/>
  <c r="G36" i="9"/>
  <c r="G34" i="9"/>
  <c r="G32" i="9"/>
  <c r="G30" i="9"/>
  <c r="G28" i="9"/>
  <c r="G26" i="9"/>
  <c r="G23" i="9"/>
  <c r="G21" i="9"/>
  <c r="G19" i="9"/>
  <c r="G17" i="9"/>
  <c r="G25" i="9"/>
  <c r="G24" i="9"/>
  <c r="G22" i="9"/>
  <c r="G20" i="9"/>
  <c r="G18" i="9"/>
  <c r="G16" i="9"/>
  <c r="D46" i="8"/>
  <c r="B5" i="8"/>
  <c r="E54" i="8"/>
  <c r="D3" i="8"/>
  <c r="B3" i="8"/>
  <c r="G37" i="8"/>
  <c r="I5" i="8"/>
  <c r="F3" i="8"/>
  <c r="D5" i="8"/>
  <c r="I3" i="8"/>
  <c r="F5" i="8"/>
  <c r="J37" i="2"/>
  <c r="B3" i="2"/>
  <c r="D3" i="2"/>
  <c r="B5" i="2"/>
  <c r="F3" i="2"/>
  <c r="D5" i="2"/>
  <c r="I3" i="2"/>
  <c r="F5" i="2"/>
  <c r="I5" i="2"/>
  <c r="I3" i="1"/>
  <c r="E54" i="1"/>
  <c r="D46" i="1"/>
  <c r="F3" i="1"/>
  <c r="D3" i="1"/>
  <c r="B3" i="1"/>
  <c r="G37" i="1"/>
  <c r="D5" i="1"/>
  <c r="F5" i="1"/>
  <c r="I5" i="1"/>
  <c r="B5" i="1"/>
  <c r="F6" i="10" a="1"/>
  <c r="F7" i="8" a="1"/>
  <c r="B7" i="8" a="1"/>
  <c r="B6" i="1" a="1"/>
  <c r="D7" i="8" a="1"/>
  <c r="I6" i="2" a="1"/>
  <c r="D6" i="1" a="1"/>
  <c r="F6" i="2" a="1"/>
  <c r="J38" i="10" a="1"/>
  <c r="D6" i="8" a="1"/>
  <c r="B7" i="2" a="1"/>
  <c r="I6" i="1" a="1"/>
  <c r="E55" i="8" a="1"/>
  <c r="B6" i="10" a="1"/>
  <c r="I7" i="2" a="1"/>
  <c r="E47" i="8" a="1"/>
  <c r="B7" i="10" a="1"/>
  <c r="F7" i="2" a="1"/>
  <c r="F6" i="8" a="1"/>
  <c r="D7" i="2" a="1"/>
  <c r="D7" i="10" a="1"/>
  <c r="J38" i="2" a="1"/>
  <c r="I6" i="10" a="1"/>
  <c r="I7" i="10" a="1"/>
  <c r="E55" i="1" a="1"/>
  <c r="D6" i="2" a="1"/>
  <c r="D7" i="1" a="1"/>
  <c r="F7" i="1" a="1"/>
  <c r="D6" i="10" a="1"/>
  <c r="B6" i="2" a="1"/>
  <c r="I6" i="8" a="1"/>
  <c r="E47" i="1" a="1"/>
  <c r="I7" i="1" a="1"/>
  <c r="F6" i="1" a="1"/>
  <c r="I7" i="8" a="1"/>
  <c r="F7" i="10" a="1"/>
  <c r="B7" i="1" a="1"/>
  <c r="B6" i="8" a="1"/>
  <c r="N38" i="11" a="1"/>
  <c r="H6" i="11" a="1"/>
  <c r="M7" i="11" a="1"/>
  <c r="M6" i="11" a="1"/>
  <c r="J7" i="11" a="1"/>
  <c r="J6" i="11" a="1"/>
  <c r="F7" i="11" a="1"/>
  <c r="F6" i="11" a="1"/>
  <c r="D6" i="11" a="1"/>
  <c r="D7" i="11" a="1"/>
  <c r="B7" i="11" a="1"/>
  <c r="B6" i="11" a="1"/>
  <c r="H3" i="11" l="1"/>
  <c r="H6" i="11"/>
  <c r="K47" i="11"/>
  <c r="K49" i="11"/>
  <c r="F6" i="11"/>
  <c r="F7" i="11"/>
  <c r="D6" i="11"/>
  <c r="D7" i="11"/>
  <c r="B7" i="11"/>
  <c r="B6" i="11"/>
  <c r="M7" i="11"/>
  <c r="M6" i="11"/>
  <c r="J7" i="11"/>
  <c r="J6" i="11"/>
  <c r="N38" i="11"/>
  <c r="D7" i="10"/>
  <c r="D6" i="10"/>
  <c r="J38" i="10"/>
  <c r="B7" i="10"/>
  <c r="B6" i="10"/>
  <c r="I7" i="10"/>
  <c r="I6" i="10"/>
  <c r="F6" i="10"/>
  <c r="F7" i="10"/>
  <c r="L3" i="8"/>
  <c r="D6" i="8"/>
  <c r="D7" i="8"/>
  <c r="F6" i="8"/>
  <c r="F7" i="8"/>
  <c r="E55" i="8"/>
  <c r="I6" i="8"/>
  <c r="I7" i="8"/>
  <c r="B6" i="8"/>
  <c r="B7" i="8"/>
  <c r="E47" i="8"/>
  <c r="J38" i="2"/>
  <c r="I6" i="2"/>
  <c r="I7" i="2"/>
  <c r="F6" i="2"/>
  <c r="F7" i="2"/>
  <c r="D7" i="2"/>
  <c r="D6" i="2"/>
  <c r="B7" i="2"/>
  <c r="B6" i="2"/>
  <c r="E47" i="1"/>
  <c r="E55" i="1"/>
  <c r="I7" i="1"/>
  <c r="I6" i="1"/>
  <c r="F7" i="1"/>
  <c r="F6" i="1"/>
  <c r="D6" i="1"/>
  <c r="D7" i="1"/>
  <c r="B6" i="1"/>
  <c r="B7" i="1"/>
  <c r="I8" i="10" a="1"/>
  <c r="I8" i="2" a="1"/>
  <c r="D8" i="10" a="1"/>
  <c r="I19" i="1" a="1"/>
  <c r="D19" i="8" a="1"/>
  <c r="I23" i="10" a="1"/>
  <c r="I23" i="2" a="1"/>
  <c r="D8" i="8" a="1"/>
  <c r="F19" i="1" a="1"/>
  <c r="B19" i="1" a="1"/>
  <c r="F8" i="2" a="1"/>
  <c r="F23" i="2" a="1"/>
  <c r="I8" i="8" a="1"/>
  <c r="E56" i="8" a="1"/>
  <c r="D8" i="2" a="1"/>
  <c r="I19" i="8" a="1"/>
  <c r="B8" i="1" a="1"/>
  <c r="B23" i="10" a="1"/>
  <c r="F23" i="10" a="1"/>
  <c r="B23" i="2" a="1"/>
  <c r="B8" i="10" a="1"/>
  <c r="F8" i="10" a="1"/>
  <c r="B8" i="2" a="1"/>
  <c r="E56" i="1" a="1"/>
  <c r="F8" i="8" a="1"/>
  <c r="D19" i="1" a="1"/>
  <c r="D23" i="10" a="1"/>
  <c r="B8" i="8" a="1"/>
  <c r="F8" i="1" a="1"/>
  <c r="I8" i="1" a="1"/>
  <c r="D23" i="2" a="1"/>
  <c r="D8" i="1" a="1"/>
  <c r="B19" i="8" a="1"/>
  <c r="F19" i="8" a="1"/>
  <c r="M8" i="11" a="1"/>
  <c r="M23" i="11" a="1"/>
  <c r="J23" i="11" a="1"/>
  <c r="J8" i="11" a="1"/>
  <c r="F8" i="11" a="1"/>
  <c r="F23" i="11" a="1"/>
  <c r="D8" i="11" a="1"/>
  <c r="D23" i="11" a="1"/>
  <c r="B23" i="11" a="1"/>
  <c r="B8" i="11" a="1"/>
  <c r="K48" i="11" l="1"/>
  <c r="L48" i="11"/>
  <c r="F23" i="11"/>
  <c r="F8" i="11"/>
  <c r="B23" i="11"/>
  <c r="B8" i="11"/>
  <c r="J23" i="11"/>
  <c r="J8" i="11"/>
  <c r="M8" i="11"/>
  <c r="M23" i="11"/>
  <c r="D23" i="11"/>
  <c r="D8" i="11"/>
  <c r="F8" i="10"/>
  <c r="F23" i="10"/>
  <c r="I23" i="10"/>
  <c r="I8" i="10"/>
  <c r="B8" i="10"/>
  <c r="B23" i="10"/>
  <c r="D8" i="10"/>
  <c r="D23" i="10"/>
  <c r="B8" i="8"/>
  <c r="B19" i="8"/>
  <c r="I19" i="8"/>
  <c r="I8" i="8"/>
  <c r="E56" i="8"/>
  <c r="F19" i="8"/>
  <c r="F8" i="8"/>
  <c r="D19" i="8"/>
  <c r="D8" i="8"/>
  <c r="B8" i="2"/>
  <c r="B23" i="2"/>
  <c r="D8" i="2"/>
  <c r="D23" i="2"/>
  <c r="F23" i="2"/>
  <c r="F8" i="2"/>
  <c r="I23" i="2"/>
  <c r="I8" i="2"/>
  <c r="E56" i="1"/>
  <c r="B8" i="1"/>
  <c r="B19" i="1"/>
  <c r="F19" i="1"/>
  <c r="F8" i="1"/>
  <c r="D8" i="1"/>
  <c r="D19" i="1"/>
  <c r="I8" i="1"/>
  <c r="I19" i="1"/>
  <c r="F24" i="10" a="1"/>
  <c r="I20" i="1" a="1"/>
  <c r="B24" i="10" a="1"/>
  <c r="D20" i="8" a="1"/>
  <c r="E9" i="8" a="1"/>
  <c r="F25" i="2" a="1"/>
  <c r="B25" i="2" a="1"/>
  <c r="J10" i="8" a="1"/>
  <c r="C9" i="1" a="1"/>
  <c r="B21" i="8" a="1"/>
  <c r="G11" i="2" a="1"/>
  <c r="C11" i="2" a="1"/>
  <c r="B20" i="8" a="1"/>
  <c r="F24" i="2" a="1"/>
  <c r="D21" i="1" a="1"/>
  <c r="E11" i="1" a="1"/>
  <c r="C11" i="8" a="1"/>
  <c r="J11" i="2" a="1"/>
  <c r="F25" i="10" a="1"/>
  <c r="G11" i="1" a="1"/>
  <c r="E9" i="1" a="1"/>
  <c r="C10" i="1" a="1"/>
  <c r="D25" i="10" a="1"/>
  <c r="J9" i="8" a="1"/>
  <c r="J9" i="10" a="1"/>
  <c r="G10" i="8" a="1"/>
  <c r="F20" i="8" a="1"/>
  <c r="C10" i="8" a="1"/>
  <c r="D24" i="2" a="1"/>
  <c r="E11" i="8" a="1"/>
  <c r="C9" i="10" a="1"/>
  <c r="J9" i="1" a="1"/>
  <c r="J11" i="1" a="1"/>
  <c r="I24" i="10" a="1"/>
  <c r="F21" i="1" a="1"/>
  <c r="B24" i="2" a="1"/>
  <c r="F20" i="1" a="1"/>
  <c r="J10" i="10" a="1"/>
  <c r="F21" i="8" a="1"/>
  <c r="I21" i="1" a="1"/>
  <c r="C9" i="8" a="1"/>
  <c r="E9" i="2" a="1"/>
  <c r="G9" i="10" a="1"/>
  <c r="J11" i="10" a="1"/>
  <c r="G10" i="1" a="1"/>
  <c r="E11" i="2" a="1"/>
  <c r="G11" i="8" a="1"/>
  <c r="I24" i="2" a="1"/>
  <c r="J10" i="2" a="1"/>
  <c r="C9" i="2" a="1"/>
  <c r="G11" i="10" a="1"/>
  <c r="B21" i="1" a="1"/>
  <c r="C11" i="1" a="1"/>
  <c r="E10" i="10" a="1"/>
  <c r="D21" i="8" a="1"/>
  <c r="J9" i="2" a="1"/>
  <c r="D25" i="2" a="1"/>
  <c r="E10" i="2" a="1"/>
  <c r="I25" i="10" a="1"/>
  <c r="C10" i="10" a="1"/>
  <c r="G10" i="10" a="1"/>
  <c r="E10" i="8" a="1"/>
  <c r="C11" i="10" a="1"/>
  <c r="E11" i="10" a="1"/>
  <c r="G9" i="8" a="1"/>
  <c r="I25" i="2" a="1"/>
  <c r="B20" i="1" a="1"/>
  <c r="E9" i="10" a="1"/>
  <c r="I20" i="8" a="1"/>
  <c r="E10" i="1" a="1"/>
  <c r="B25" i="10" a="1"/>
  <c r="J11" i="8" a="1"/>
  <c r="D20" i="1" a="1"/>
  <c r="G9" i="2" a="1"/>
  <c r="C10" i="2" a="1"/>
  <c r="D24" i="10" a="1"/>
  <c r="J10" i="1" a="1"/>
  <c r="I21" i="8" a="1"/>
  <c r="G10" i="2" a="1"/>
  <c r="G9" i="1" a="1"/>
  <c r="N10" i="11" a="1"/>
  <c r="M24" i="11" a="1"/>
  <c r="N11" i="11" a="1"/>
  <c r="M25" i="11" a="1"/>
  <c r="N9" i="11" a="1"/>
  <c r="K11" i="11" a="1"/>
  <c r="K9" i="11" a="1"/>
  <c r="J24" i="11" a="1"/>
  <c r="J25" i="11" a="1"/>
  <c r="K10" i="11" a="1"/>
  <c r="F24" i="11" a="1"/>
  <c r="G11" i="11" a="1"/>
  <c r="G9" i="11" a="1"/>
  <c r="F25" i="11" a="1"/>
  <c r="G10" i="11" a="1"/>
  <c r="E11" i="11" a="1"/>
  <c r="D25" i="11" a="1"/>
  <c r="D24" i="11" a="1"/>
  <c r="E10" i="11" a="1"/>
  <c r="E9" i="11" a="1"/>
  <c r="B24" i="11" a="1"/>
  <c r="B25" i="11" a="1"/>
  <c r="C11" i="11" a="1"/>
  <c r="C9" i="11" a="1"/>
  <c r="C10" i="11" a="1"/>
  <c r="F24" i="11" l="1"/>
  <c r="F25" i="11"/>
  <c r="G11" i="11"/>
  <c r="F11" i="11" s="1"/>
  <c r="G10" i="11"/>
  <c r="G9" i="11"/>
  <c r="F9" i="11" s="1"/>
  <c r="E11" i="11"/>
  <c r="D11" i="11" s="1"/>
  <c r="E10" i="11"/>
  <c r="E9" i="11"/>
  <c r="D9" i="11" s="1"/>
  <c r="D25" i="11"/>
  <c r="D24" i="11"/>
  <c r="M24" i="11"/>
  <c r="M25" i="11"/>
  <c r="N11" i="11"/>
  <c r="M11" i="11" s="1"/>
  <c r="N10" i="11"/>
  <c r="N9" i="11"/>
  <c r="M9" i="11" s="1"/>
  <c r="K11" i="11"/>
  <c r="J11" i="11" s="1"/>
  <c r="K9" i="11"/>
  <c r="J9" i="11" s="1"/>
  <c r="K10" i="11"/>
  <c r="J25" i="11"/>
  <c r="J24" i="11"/>
  <c r="C10" i="11"/>
  <c r="C9" i="11"/>
  <c r="B9" i="11" s="1"/>
  <c r="C11" i="11"/>
  <c r="B11" i="11" s="1"/>
  <c r="B24" i="11"/>
  <c r="B25" i="11"/>
  <c r="D25" i="10"/>
  <c r="D24" i="10"/>
  <c r="E9" i="10"/>
  <c r="D9" i="10" s="1"/>
  <c r="E11" i="10"/>
  <c r="D11" i="10" s="1"/>
  <c r="E10" i="10"/>
  <c r="B24" i="10"/>
  <c r="B25" i="10"/>
  <c r="C10" i="10"/>
  <c r="C9" i="10"/>
  <c r="B9" i="10" s="1"/>
  <c r="C11" i="10"/>
  <c r="B11" i="10" s="1"/>
  <c r="J11" i="10"/>
  <c r="I11" i="10" s="1"/>
  <c r="J10" i="10"/>
  <c r="J9" i="10"/>
  <c r="I9" i="10" s="1"/>
  <c r="I24" i="10"/>
  <c r="I25" i="10"/>
  <c r="F25" i="10"/>
  <c r="F24" i="10"/>
  <c r="G10" i="10"/>
  <c r="G11" i="10"/>
  <c r="F11" i="10" s="1"/>
  <c r="G9" i="10"/>
  <c r="F9" i="10" s="1"/>
  <c r="J11" i="8"/>
  <c r="I11" i="8" s="1"/>
  <c r="J10" i="8"/>
  <c r="J9" i="8"/>
  <c r="I9" i="8" s="1"/>
  <c r="I20" i="8"/>
  <c r="I21" i="8"/>
  <c r="B21" i="8"/>
  <c r="B20" i="8"/>
  <c r="C11" i="8"/>
  <c r="B11" i="8" s="1"/>
  <c r="C10" i="8"/>
  <c r="C9" i="8"/>
  <c r="B9" i="8" s="1"/>
  <c r="E9" i="8"/>
  <c r="D9" i="8" s="1"/>
  <c r="E11" i="8"/>
  <c r="D11" i="8" s="1"/>
  <c r="E10" i="8"/>
  <c r="D20" i="8"/>
  <c r="D21" i="8"/>
  <c r="G10" i="8"/>
  <c r="G11" i="8"/>
  <c r="F11" i="8" s="1"/>
  <c r="G9" i="8"/>
  <c r="F9" i="8" s="1"/>
  <c r="F20" i="8"/>
  <c r="F21" i="8"/>
  <c r="I24" i="2"/>
  <c r="I25" i="2"/>
  <c r="F24" i="2"/>
  <c r="F25" i="2"/>
  <c r="B25" i="2"/>
  <c r="B24" i="2"/>
  <c r="J11" i="2"/>
  <c r="I11" i="2" s="1"/>
  <c r="J10" i="2"/>
  <c r="J9" i="2"/>
  <c r="I9" i="2" s="1"/>
  <c r="G10" i="2"/>
  <c r="G11" i="2"/>
  <c r="F11" i="2" s="1"/>
  <c r="G9" i="2"/>
  <c r="F9" i="2" s="1"/>
  <c r="D25" i="2"/>
  <c r="D24" i="2"/>
  <c r="E11" i="2"/>
  <c r="D11" i="2" s="1"/>
  <c r="E10" i="2"/>
  <c r="E9" i="2"/>
  <c r="D9" i="2" s="1"/>
  <c r="C11" i="2"/>
  <c r="B11" i="2" s="1"/>
  <c r="C10" i="2"/>
  <c r="C9" i="2"/>
  <c r="B9" i="2" s="1"/>
  <c r="I21" i="1"/>
  <c r="I20" i="1"/>
  <c r="D21" i="1"/>
  <c r="D20" i="1"/>
  <c r="F21" i="1"/>
  <c r="F20" i="1"/>
  <c r="B21" i="1"/>
  <c r="B20" i="1"/>
  <c r="J9" i="1"/>
  <c r="I9" i="1" s="1"/>
  <c r="J10" i="1"/>
  <c r="J11" i="1"/>
  <c r="I11" i="1" s="1"/>
  <c r="G11" i="1"/>
  <c r="F11" i="1" s="1"/>
  <c r="G9" i="1"/>
  <c r="F9" i="1" s="1"/>
  <c r="G10" i="1"/>
  <c r="E9" i="1"/>
  <c r="D9" i="1" s="1"/>
  <c r="E11" i="1"/>
  <c r="D11" i="1" s="1"/>
  <c r="E10" i="1"/>
  <c r="C11" i="1"/>
  <c r="B11" i="1" s="1"/>
  <c r="C10" i="1"/>
  <c r="C9" i="1"/>
  <c r="H13" i="11" l="1"/>
  <c r="F13" i="11"/>
  <c r="F10" i="11"/>
  <c r="M10" i="11"/>
  <c r="M13" i="11"/>
  <c r="B10" i="11"/>
  <c r="B13" i="11"/>
  <c r="D13" i="11"/>
  <c r="D10" i="11"/>
  <c r="J10" i="11"/>
  <c r="J13" i="11"/>
  <c r="I13" i="10"/>
  <c r="I10" i="10"/>
  <c r="B10" i="10"/>
  <c r="B13" i="10"/>
  <c r="F10" i="10"/>
  <c r="F13" i="10"/>
  <c r="D13" i="10"/>
  <c r="D10" i="10"/>
  <c r="B13" i="8"/>
  <c r="B10" i="8"/>
  <c r="F13" i="8"/>
  <c r="F10" i="8"/>
  <c r="I10" i="8"/>
  <c r="I13" i="8"/>
  <c r="D10" i="8"/>
  <c r="D13" i="8"/>
  <c r="F13" i="2"/>
  <c r="F10" i="2"/>
  <c r="I10" i="2"/>
  <c r="I13" i="2"/>
  <c r="B13" i="2"/>
  <c r="B10" i="2"/>
  <c r="D13" i="2"/>
  <c r="D10" i="2"/>
  <c r="I10" i="1"/>
  <c r="I13" i="1"/>
  <c r="F10" i="1"/>
  <c r="F13" i="1"/>
  <c r="D10" i="1"/>
  <c r="D15" i="1" s="1"/>
  <c r="D4" i="1" s="1"/>
  <c r="D13" i="1"/>
  <c r="B10" i="1"/>
  <c r="B13" i="1"/>
  <c r="F23" i="1" a="1"/>
  <c r="B23" i="1" a="1"/>
  <c r="I23" i="1" a="1"/>
  <c r="F27" i="11" a="1"/>
  <c r="F27" i="11" l="1"/>
  <c r="F15" i="11"/>
  <c r="J15" i="11"/>
  <c r="D15" i="11"/>
  <c r="B15" i="11"/>
  <c r="D20" i="11"/>
  <c r="D21" i="11" s="1"/>
  <c r="M15" i="11"/>
  <c r="D15" i="10"/>
  <c r="F15" i="10"/>
  <c r="D20" i="10"/>
  <c r="D21" i="10" s="1"/>
  <c r="B15" i="10"/>
  <c r="I15" i="10"/>
  <c r="D16" i="8"/>
  <c r="D15" i="8"/>
  <c r="D4" i="8" s="1"/>
  <c r="I15" i="8"/>
  <c r="I4" i="8" s="1"/>
  <c r="F15" i="8"/>
  <c r="F4" i="8" s="1"/>
  <c r="B16" i="8"/>
  <c r="B15" i="8"/>
  <c r="B4" i="8" s="1"/>
  <c r="D20" i="2"/>
  <c r="B15" i="2"/>
  <c r="I15" i="2"/>
  <c r="D15" i="2"/>
  <c r="F15" i="2"/>
  <c r="I23" i="1"/>
  <c r="F23" i="1"/>
  <c r="B23" i="1"/>
  <c r="B15" i="1"/>
  <c r="B4" i="1" s="1"/>
  <c r="B16" i="1"/>
  <c r="B17" i="1" s="1"/>
  <c r="I15" i="1"/>
  <c r="I4" i="1" s="1"/>
  <c r="F15" i="1"/>
  <c r="F4" i="1" s="1"/>
  <c r="D16" i="1"/>
  <c r="D17" i="1" s="1"/>
  <c r="D27" i="10" a="1"/>
  <c r="F24" i="1" a="1"/>
  <c r="F27" i="10" a="1"/>
  <c r="F23" i="8" a="1"/>
  <c r="I23" i="8" a="1"/>
  <c r="D27" i="2" a="1"/>
  <c r="B25" i="1" a="1"/>
  <c r="B27" i="2" a="1"/>
  <c r="B27" i="1" a="1"/>
  <c r="I27" i="10" a="1"/>
  <c r="F25" i="1" a="1"/>
  <c r="F27" i="1" a="1"/>
  <c r="I24" i="1" a="1"/>
  <c r="B24" i="1" a="1"/>
  <c r="B23" i="8" a="1"/>
  <c r="D23" i="8" a="1"/>
  <c r="D23" i="1" a="1"/>
  <c r="I27" i="2" a="1"/>
  <c r="F27" i="2" a="1"/>
  <c r="I25" i="1" a="1"/>
  <c r="B27" i="10" a="1"/>
  <c r="M27" i="11" a="1"/>
  <c r="J27" i="11" a="1"/>
  <c r="F28" i="11" a="1"/>
  <c r="F29" i="11" a="1"/>
  <c r="D27" i="11" a="1"/>
  <c r="B27" i="11" a="1"/>
  <c r="H4" i="11" l="1"/>
  <c r="F28" i="11"/>
  <c r="F29" i="11"/>
  <c r="F4" i="11"/>
  <c r="F16" i="11"/>
  <c r="M27" i="11"/>
  <c r="B27" i="11"/>
  <c r="D27" i="11"/>
  <c r="J27" i="11"/>
  <c r="M16" i="11"/>
  <c r="M4" i="11"/>
  <c r="B4" i="11"/>
  <c r="B16" i="11"/>
  <c r="D4" i="11"/>
  <c r="D16" i="11"/>
  <c r="J4" i="11"/>
  <c r="J16" i="11"/>
  <c r="I27" i="10"/>
  <c r="B27" i="10"/>
  <c r="F27" i="10"/>
  <c r="D27" i="10"/>
  <c r="I16" i="10"/>
  <c r="I4" i="10"/>
  <c r="B4" i="10"/>
  <c r="B16" i="10"/>
  <c r="F16" i="10"/>
  <c r="F4" i="10"/>
  <c r="D4" i="10"/>
  <c r="D16" i="10"/>
  <c r="F23" i="8"/>
  <c r="B23" i="8"/>
  <c r="I23" i="8"/>
  <c r="D23" i="8"/>
  <c r="B17" i="8"/>
  <c r="D17" i="8"/>
  <c r="F4" i="2"/>
  <c r="F16" i="2"/>
  <c r="D4" i="2"/>
  <c r="D16" i="2"/>
  <c r="I4" i="2"/>
  <c r="I16" i="2"/>
  <c r="D21" i="2"/>
  <c r="B16" i="2"/>
  <c r="B4" i="2"/>
  <c r="F27" i="2"/>
  <c r="D27" i="2"/>
  <c r="B27" i="2"/>
  <c r="I27" i="2"/>
  <c r="D23" i="1"/>
  <c r="I25" i="1"/>
  <c r="I24" i="1"/>
  <c r="F27" i="1"/>
  <c r="F24" i="1"/>
  <c r="F25" i="1"/>
  <c r="B24" i="1"/>
  <c r="B27" i="1"/>
  <c r="B25" i="1"/>
  <c r="F28" i="1" a="1"/>
  <c r="D27" i="1" a="1"/>
  <c r="D28" i="2" a="1"/>
  <c r="D25" i="1" a="1"/>
  <c r="F27" i="8" a="1"/>
  <c r="D29" i="2" a="1"/>
  <c r="D25" i="8" a="1"/>
  <c r="B31" i="2" a="1"/>
  <c r="B29" i="2" a="1"/>
  <c r="B24" i="8" a="1"/>
  <c r="B31" i="1" a="1"/>
  <c r="F28" i="10" a="1"/>
  <c r="B25" i="8" a="1"/>
  <c r="I29" i="10" a="1"/>
  <c r="F25" i="8" a="1"/>
  <c r="D31" i="8" a="1"/>
  <c r="B28" i="2" a="1"/>
  <c r="I24" i="8" a="1"/>
  <c r="I25" i="8" a="1"/>
  <c r="B27" i="8" a="1"/>
  <c r="F29" i="10" a="1"/>
  <c r="F24" i="8" a="1"/>
  <c r="D24" i="1" a="1"/>
  <c r="B31" i="8" a="1"/>
  <c r="B28" i="10" a="1"/>
  <c r="I29" i="2" a="1"/>
  <c r="D27" i="8" a="1"/>
  <c r="B28" i="1" a="1"/>
  <c r="D29" i="10" a="1"/>
  <c r="D28" i="10" a="1"/>
  <c r="I28" i="2" a="1"/>
  <c r="B29" i="10" a="1"/>
  <c r="B31" i="10" a="1"/>
  <c r="D24" i="8" a="1"/>
  <c r="F28" i="2" a="1"/>
  <c r="I28" i="10" a="1"/>
  <c r="F29" i="2" a="1"/>
  <c r="M28" i="11" a="1"/>
  <c r="M29" i="11" a="1"/>
  <c r="J29" i="11" a="1"/>
  <c r="J28" i="11" a="1"/>
  <c r="D29" i="11" a="1"/>
  <c r="D28" i="11" a="1"/>
  <c r="B31" i="11" a="1"/>
  <c r="B29" i="11" a="1"/>
  <c r="B28" i="11" a="1"/>
  <c r="J29" i="11" l="1"/>
  <c r="J28" i="11"/>
  <c r="B31" i="11"/>
  <c r="D28" i="11"/>
  <c r="D29" i="11"/>
  <c r="B29" i="11"/>
  <c r="B28" i="11"/>
  <c r="M29" i="11"/>
  <c r="M28" i="11"/>
  <c r="B31" i="10"/>
  <c r="D28" i="10"/>
  <c r="D29" i="10"/>
  <c r="F29" i="10"/>
  <c r="F28" i="10"/>
  <c r="B29" i="10"/>
  <c r="B28" i="10"/>
  <c r="I29" i="10"/>
  <c r="I28" i="10"/>
  <c r="D31" i="8"/>
  <c r="B31" i="8"/>
  <c r="F24" i="8"/>
  <c r="F25" i="8"/>
  <c r="F27" i="8"/>
  <c r="D24" i="8"/>
  <c r="D25" i="8"/>
  <c r="D27" i="8"/>
  <c r="I25" i="8"/>
  <c r="I24" i="8"/>
  <c r="B24" i="8"/>
  <c r="B25" i="8"/>
  <c r="B27" i="8"/>
  <c r="B31" i="2"/>
  <c r="F29" i="2"/>
  <c r="F28" i="2"/>
  <c r="B28" i="2"/>
  <c r="B29" i="2"/>
  <c r="I28" i="2"/>
  <c r="I29" i="2"/>
  <c r="D28" i="2"/>
  <c r="D29" i="2"/>
  <c r="D27" i="1"/>
  <c r="D24" i="1"/>
  <c r="D25" i="1"/>
  <c r="F28" i="1"/>
  <c r="B28" i="1"/>
  <c r="B31" i="1"/>
  <c r="D28" i="1" a="1"/>
  <c r="D31" i="1" a="1"/>
  <c r="B29" i="1" a="1"/>
  <c r="F28" i="8" a="1"/>
  <c r="B33" i="1" a="1"/>
  <c r="B35" i="1" a="1"/>
  <c r="F29" i="1" a="1"/>
  <c r="E35" i="2" a="1"/>
  <c r="E35" i="10" a="1"/>
  <c r="D28" i="8" a="1"/>
  <c r="B32" i="1" a="1"/>
  <c r="B32" i="10" a="1"/>
  <c r="B32" i="2" a="1"/>
  <c r="B28" i="8" a="1"/>
  <c r="B32" i="11" a="1"/>
  <c r="E35" i="11" a="1"/>
  <c r="E35" i="11" l="1"/>
  <c r="B32" i="11"/>
  <c r="B37" i="11"/>
  <c r="E35" i="10"/>
  <c r="B32" i="10"/>
  <c r="B37" i="10"/>
  <c r="B28" i="8"/>
  <c r="D28" i="8"/>
  <c r="F28" i="8"/>
  <c r="E35" i="2"/>
  <c r="B37" i="2"/>
  <c r="B32" i="2"/>
  <c r="B35" i="1"/>
  <c r="D28" i="1"/>
  <c r="D31" i="1"/>
  <c r="F29" i="1"/>
  <c r="B32" i="1"/>
  <c r="B33" i="1"/>
  <c r="B29" i="1"/>
  <c r="B36" i="1" a="1"/>
  <c r="D33" i="1" a="1"/>
  <c r="D29" i="1" a="1"/>
  <c r="D29" i="8" a="1"/>
  <c r="B35" i="8" a="1"/>
  <c r="B29" i="8" a="1"/>
  <c r="D35" i="1" a="1"/>
  <c r="B38" i="10" a="1"/>
  <c r="D32" i="1" a="1"/>
  <c r="B32" i="8" a="1"/>
  <c r="B33" i="8" a="1"/>
  <c r="D32" i="8" a="1"/>
  <c r="F29" i="8" a="1"/>
  <c r="D33" i="8" a="1"/>
  <c r="B33" i="10" a="1"/>
  <c r="B33" i="2" a="1"/>
  <c r="D35" i="8" a="1"/>
  <c r="B33" i="11" a="1"/>
  <c r="B38" i="11" a="1"/>
  <c r="B38" i="11" l="1"/>
  <c r="B33" i="11"/>
  <c r="E44" i="11"/>
  <c r="E43" i="11"/>
  <c r="E42" i="11"/>
  <c r="E41" i="11"/>
  <c r="B38" i="10"/>
  <c r="B33" i="10"/>
  <c r="E41" i="10"/>
  <c r="E42" i="10"/>
  <c r="E44" i="10"/>
  <c r="E43" i="10"/>
  <c r="F29" i="8"/>
  <c r="D33" i="8"/>
  <c r="D32" i="8"/>
  <c r="D35" i="8"/>
  <c r="D29" i="8"/>
  <c r="B29" i="8"/>
  <c r="B33" i="8"/>
  <c r="B32" i="8"/>
  <c r="B35" i="8"/>
  <c r="B33" i="2"/>
  <c r="E44" i="2"/>
  <c r="E41" i="2"/>
  <c r="E42" i="2"/>
  <c r="E43" i="2"/>
  <c r="D29" i="1"/>
  <c r="D32" i="1"/>
  <c r="D33" i="1"/>
  <c r="D35" i="1"/>
  <c r="B36" i="1"/>
  <c r="B36" i="8" a="1"/>
  <c r="E46" i="2" a="1"/>
  <c r="D36" i="1" a="1"/>
  <c r="B39" i="10" a="1"/>
  <c r="C37" i="1" a="1"/>
  <c r="B39" i="1" a="1"/>
  <c r="B39" i="8" a="1"/>
  <c r="E46" i="10" a="1"/>
  <c r="D36" i="8" a="1"/>
  <c r="B39" i="11" a="1"/>
  <c r="E46" i="11" a="1"/>
  <c r="E46" i="11" l="1"/>
  <c r="B39" i="11"/>
  <c r="E46" i="10"/>
  <c r="B39" i="10"/>
  <c r="B39" i="8"/>
  <c r="B39" i="1"/>
  <c r="B36" i="8"/>
  <c r="D36" i="8"/>
  <c r="E46" i="2"/>
  <c r="D36" i="1"/>
  <c r="C37" i="1"/>
  <c r="E37" i="1" a="1"/>
  <c r="C40" i="1" a="1"/>
  <c r="C43" i="1" a="1"/>
  <c r="C40" i="8" a="1"/>
  <c r="E47" i="2" a="1"/>
  <c r="E37" i="8" a="1"/>
  <c r="C37" i="8" a="1"/>
  <c r="C43" i="8" a="1"/>
  <c r="E47" i="10" a="1"/>
  <c r="E47" i="11" a="1"/>
  <c r="E47" i="11" l="1"/>
  <c r="E47" i="10"/>
  <c r="C43" i="1"/>
  <c r="C40" i="1"/>
  <c r="C40" i="8"/>
  <c r="C43" i="8"/>
  <c r="E37" i="8"/>
  <c r="C37" i="8"/>
  <c r="E47" i="2"/>
  <c r="E37" i="1"/>
  <c r="C41" i="1" a="1"/>
  <c r="B45" i="8" a="1"/>
  <c r="C41" i="8" a="1"/>
  <c r="E48" i="2" a="1"/>
  <c r="B45" i="1" a="1"/>
  <c r="E48" i="10" a="1"/>
  <c r="E48" i="11" a="1"/>
  <c r="E48" i="11" l="1"/>
  <c r="E48" i="10"/>
  <c r="C41" i="1"/>
  <c r="B45" i="1"/>
  <c r="B45" i="8"/>
  <c r="C49" i="8" s="1"/>
  <c r="C41" i="8"/>
  <c r="E48" i="2"/>
  <c r="C49" i="1"/>
  <c r="C51" i="1"/>
  <c r="C50" i="1"/>
  <c r="B9" i="1"/>
  <c r="B46" i="8" a="1"/>
  <c r="B38" i="2" a="1"/>
  <c r="B46" i="1" a="1"/>
  <c r="B46" i="1" l="1"/>
  <c r="C52" i="1"/>
  <c r="C50" i="8"/>
  <c r="C52" i="8"/>
  <c r="C51" i="8"/>
  <c r="B46" i="8"/>
  <c r="B38" i="2"/>
  <c r="B39" i="2" a="1"/>
  <c r="C54" i="8" a="1"/>
  <c r="C47" i="1" a="1"/>
  <c r="C54" i="1" a="1"/>
  <c r="C47" i="8" a="1"/>
  <c r="C54" i="1" l="1"/>
  <c r="C47" i="1"/>
  <c r="C54" i="8"/>
  <c r="C47" i="8"/>
  <c r="B39" i="2"/>
  <c r="C55" i="1" a="1"/>
  <c r="C55" i="8" a="1"/>
  <c r="C55" i="1" l="1"/>
  <c r="C55" i="8"/>
  <c r="C56" i="1" a="1"/>
  <c r="C56" i="8" a="1"/>
  <c r="C56" i="1" l="1"/>
  <c r="C56" i="8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<sst xmlns="http://schemas.openxmlformats.org/spreadsheetml/2006/main" count="542" uniqueCount="102">
  <si>
    <t>16진수</t>
    <phoneticPr fontId="1" type="noConversion"/>
  </si>
  <si>
    <t>2진수</t>
    <phoneticPr fontId="1" type="noConversion"/>
  </si>
  <si>
    <t>Sign(1) | Exponent(5) | Mantissa(10)</t>
    <phoneticPr fontId="1" type="noConversion"/>
  </si>
  <si>
    <t>Mantissa</t>
    <phoneticPr fontId="1" type="noConversion"/>
  </si>
  <si>
    <t>x</t>
    <phoneticPr fontId="1" type="noConversion"/>
  </si>
  <si>
    <t>y</t>
    <phoneticPr fontId="1" type="noConversion"/>
  </si>
  <si>
    <t>x + y</t>
    <phoneticPr fontId="1" type="noConversion"/>
  </si>
  <si>
    <t>G</t>
    <phoneticPr fontId="1" type="noConversion"/>
  </si>
  <si>
    <t>R</t>
    <phoneticPr fontId="1" type="noConversion"/>
  </si>
  <si>
    <t>S</t>
    <phoneticPr fontId="1" type="noConversion"/>
  </si>
  <si>
    <t>Hidden 1-bit + Mantissa(11-bit)</t>
    <phoneticPr fontId="1" type="noConversion"/>
  </si>
  <si>
    <t>Hidden 1-bit + Mantissa + GRS(14-bit)</t>
    <phoneticPr fontId="1" type="noConversion"/>
  </si>
  <si>
    <t>LSB</t>
    <phoneticPr fontId="1" type="noConversion"/>
  </si>
  <si>
    <t>Aligned_X + Aligned_Y(14-bit)</t>
    <phoneticPr fontId="1" type="noConversion"/>
  </si>
  <si>
    <t>Aligned(14-bit)</t>
    <phoneticPr fontId="1" type="noConversion"/>
  </si>
  <si>
    <t>2's Complement of Aligned</t>
    <phoneticPr fontId="1" type="noConversion"/>
  </si>
  <si>
    <t>Normalized</t>
    <phoneticPr fontId="1" type="noConversion"/>
  </si>
  <si>
    <t>Exponent Diff(Mantissa Shift Right)</t>
    <phoneticPr fontId="1" type="noConversion"/>
  </si>
  <si>
    <t>Test</t>
    <phoneticPr fontId="1" type="noConversion"/>
  </si>
  <si>
    <t>10진수</t>
    <phoneticPr fontId="1" type="noConversion"/>
  </si>
  <si>
    <t>Denormal / NaN / Infinite</t>
    <phoneticPr fontId="1" type="noConversion"/>
  </si>
  <si>
    <t>Hexa</t>
    <phoneticPr fontId="1" type="noConversion"/>
  </si>
  <si>
    <t>Rounding &amp; -GRS</t>
    <phoneticPr fontId="1" type="noConversion"/>
  </si>
  <si>
    <t>Sign(1)  Dec|Hex</t>
    <phoneticPr fontId="1" type="noConversion"/>
  </si>
  <si>
    <t>Biased Exponent(5)  Dex|Hex</t>
    <phoneticPr fontId="1" type="noConversion"/>
  </si>
  <si>
    <t>Mantissa(10)  Dec|Hex</t>
    <phoneticPr fontId="1" type="noConversion"/>
  </si>
  <si>
    <t>Hex</t>
    <phoneticPr fontId="1" type="noConversion"/>
  </si>
  <si>
    <t>sticky bit 연산 추가 필요</t>
    <phoneticPr fontId="1" type="noConversion"/>
  </si>
  <si>
    <t>최소수</t>
    <phoneticPr fontId="1" type="noConversion"/>
  </si>
  <si>
    <t>10111101011100</t>
    <phoneticPr fontId="1" type="noConversion"/>
  </si>
  <si>
    <t>Real Exponent(Decimal)</t>
    <phoneticPr fontId="1" type="noConversion"/>
  </si>
  <si>
    <t>x * y</t>
    <phoneticPr fontId="1" type="noConversion"/>
  </si>
  <si>
    <t>`</t>
    <phoneticPr fontId="1" type="noConversion"/>
  </si>
  <si>
    <t>Bias</t>
    <phoneticPr fontId="1" type="noConversion"/>
  </si>
  <si>
    <t>Sum(Biased Expo) - Bias</t>
    <phoneticPr fontId="1" type="noConversion"/>
  </si>
  <si>
    <t>Aligned_X * Aligned_Y(22-bit)</t>
    <phoneticPr fontId="1" type="noConversion"/>
  </si>
  <si>
    <t>0100101000010001100110</t>
  </si>
  <si>
    <t>0</t>
  </si>
  <si>
    <t>1</t>
  </si>
  <si>
    <t>0001001101111011001000</t>
  </si>
  <si>
    <t>첫 번째 1의 2의 승수(11-bit 기준)</t>
    <phoneticPr fontId="1" type="noConversion"/>
  </si>
  <si>
    <t>expo - bias</t>
    <phoneticPr fontId="1" type="noConversion"/>
  </si>
  <si>
    <t>실수 기준</t>
    <phoneticPr fontId="1" type="noConversion"/>
  </si>
  <si>
    <t>expo</t>
    <phoneticPr fontId="1" type="noConversion"/>
  </si>
  <si>
    <t>lzc</t>
    <phoneticPr fontId="1" type="noConversion"/>
  </si>
  <si>
    <t>real</t>
    <phoneticPr fontId="1" type="noConversion"/>
  </si>
  <si>
    <t>expo - bias - lzc</t>
    <phoneticPr fontId="1" type="noConversion"/>
  </si>
  <si>
    <t>Leading Zero Count</t>
    <phoneticPr fontId="1" type="noConversion"/>
  </si>
  <si>
    <t>Aligned(11-bit)</t>
    <phoneticPr fontId="1" type="noConversion"/>
  </si>
  <si>
    <t>Aligned_X + Aligned_Y(11-bit)</t>
    <phoneticPr fontId="1" type="noConversion"/>
  </si>
  <si>
    <t>Exponent</t>
    <phoneticPr fontId="1" type="noConversion"/>
  </si>
  <si>
    <t>Sign</t>
    <phoneticPr fontId="1" type="noConversion"/>
  </si>
  <si>
    <t>Totoal</t>
    <phoneticPr fontId="1" type="noConversion"/>
  </si>
  <si>
    <t>Biased Exponent</t>
    <phoneticPr fontId="1" type="noConversion"/>
  </si>
  <si>
    <t>Real Exponent</t>
    <phoneticPr fontId="1" type="noConversion"/>
  </si>
  <si>
    <t>Max Mantissa</t>
    <phoneticPr fontId="1" type="noConversion"/>
  </si>
  <si>
    <t>Min Mantissa</t>
    <phoneticPr fontId="1" type="noConversion"/>
  </si>
  <si>
    <t>Min Biased Exponent</t>
    <phoneticPr fontId="1" type="noConversion"/>
  </si>
  <si>
    <t>Max Biased Exponent</t>
    <phoneticPr fontId="1" type="noConversion"/>
  </si>
  <si>
    <t>Max Real Exponent</t>
    <phoneticPr fontId="1" type="noConversion"/>
  </si>
  <si>
    <t>Min Real Exponent</t>
    <phoneticPr fontId="1" type="noConversion"/>
  </si>
  <si>
    <t>Bias(2^(Exponent-1) -1)</t>
    <phoneticPr fontId="1" type="noConversion"/>
  </si>
  <si>
    <t>Max Significand</t>
    <phoneticPr fontId="1" type="noConversion"/>
  </si>
  <si>
    <t>Min Significand</t>
    <phoneticPr fontId="1" type="noConversion"/>
  </si>
  <si>
    <t>Max Real Value</t>
    <phoneticPr fontId="1" type="noConversion"/>
  </si>
  <si>
    <t>Min Real Value</t>
    <phoneticPr fontId="1" type="noConversion"/>
  </si>
  <si>
    <t>Max</t>
    <phoneticPr fontId="1" type="noConversion"/>
  </si>
  <si>
    <t>Min</t>
    <phoneticPr fontId="1" type="noConversion"/>
  </si>
  <si>
    <t>Step</t>
    <phoneticPr fontId="1" type="noConversion"/>
  </si>
  <si>
    <t>LZC of Significand</t>
    <phoneticPr fontId="1" type="noConversion"/>
  </si>
  <si>
    <t>Biased Exponent</t>
  </si>
  <si>
    <t>Real Exponent</t>
  </si>
  <si>
    <t>LZC of Significand</t>
  </si>
  <si>
    <t>Max</t>
  </si>
  <si>
    <t>Min</t>
  </si>
  <si>
    <t>Step</t>
  </si>
  <si>
    <t>fb</t>
    <phoneticPr fontId="1" type="noConversion"/>
  </si>
  <si>
    <t>0AFD</t>
    <phoneticPr fontId="1" type="noConversion"/>
  </si>
  <si>
    <t>0401</t>
    <phoneticPr fontId="1" type="noConversion"/>
  </si>
  <si>
    <t>0C7F</t>
    <phoneticPr fontId="1" type="noConversion"/>
  </si>
  <si>
    <t>0C7E</t>
    <phoneticPr fontId="1" type="noConversion"/>
  </si>
  <si>
    <t>Expected - Actual</t>
    <phoneticPr fontId="1" type="noConversion"/>
  </si>
  <si>
    <t>EBFE</t>
    <phoneticPr fontId="1" type="noConversion"/>
  </si>
  <si>
    <t>7702</t>
    <phoneticPr fontId="1" type="noConversion"/>
  </si>
  <si>
    <t>7704</t>
    <phoneticPr fontId="1" type="noConversion"/>
  </si>
  <si>
    <t>402E</t>
    <phoneticPr fontId="1" type="noConversion"/>
  </si>
  <si>
    <t>3901</t>
    <phoneticPr fontId="1" type="noConversion"/>
  </si>
  <si>
    <t>3D3B</t>
    <phoneticPr fontId="1" type="noConversion"/>
  </si>
  <si>
    <t>3DD4</t>
    <phoneticPr fontId="1" type="noConversion"/>
  </si>
  <si>
    <t>7780</t>
    <phoneticPr fontId="1" type="noConversion"/>
  </si>
  <si>
    <t>3D3A</t>
    <phoneticPr fontId="1" type="noConversion"/>
  </si>
  <si>
    <t>z</t>
    <phoneticPr fontId="1" type="noConversion"/>
  </si>
  <si>
    <t>0809</t>
    <phoneticPr fontId="1" type="noConversion"/>
  </si>
  <si>
    <t>ACFE</t>
    <phoneticPr fontId="1" type="noConversion"/>
  </si>
  <si>
    <t>x * y + z</t>
    <phoneticPr fontId="1" type="noConversion"/>
  </si>
  <si>
    <t>80A1</t>
    <phoneticPr fontId="1" type="noConversion"/>
  </si>
  <si>
    <t>1a788e</t>
    <phoneticPr fontId="1" type="noConversion"/>
  </si>
  <si>
    <t>43E8</t>
    <phoneticPr fontId="1" type="noConversion"/>
  </si>
  <si>
    <t>880C</t>
    <phoneticPr fontId="1" type="noConversion"/>
  </si>
  <si>
    <t>1076</t>
    <phoneticPr fontId="1" type="noConversion"/>
  </si>
  <si>
    <t>03B1</t>
    <phoneticPr fontId="1" type="noConversion"/>
  </si>
  <si>
    <t>0E02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</si>
</sst>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#,##0.00000000000000000000_ ;[Red]\-#,##0.00000000000000000000\ "/>
    <numFmt numFmtId="177" formatCode="0.0000000000_ ;[Red]\-0.0000000000\ "/>
    <numFmt numFmtId="178" formatCode="0_ ;[Red]\-0\ "/>
    <numFmt numFmtId="179" formatCode="0.000000000000000_ ;[Red]\-0.000000000000000\ "/>
  </numFmts>
  <fonts count="5" x14ac:knownFonts="1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2"/>
      <color theme="1"/>
      <name val="D2Coding ligature"/>
      <family val="3"/>
      <charset val="129"/>
    </font>
    <font>
      <sz val="12"/>
      <color rgb="FFFF0000"/>
      <name val="D2Coding ligature"/>
      <family val="3"/>
      <charset val="129"/>
    </font>
    <font>
      <sz val="12"/>
      <name val="D2Coding ligature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5">
    <xf numFmtId="0" fontId="0" fillId="0" borderId="0" xfId="0">
      <alignment vertical="center"/>
    </xf>
    <xf numFmtId="0" fontId="2" fillId="0" borderId="0" xfId="0" applyFont="1" applyAlignment="1">
      <alignment horizontal="right" vertical="center"/>
    </xf>
    <xf numFmtId="0" fontId="2" fillId="0" borderId="0" xfId="0" applyFont="1">
      <alignment vertical="center"/>
    </xf>
    <xf numFmtId="49" fontId="2" fillId="0" borderId="0" xfId="0" applyNumberFormat="1" applyFont="1" applyAlignment="1">
      <alignment horizontal="right" vertical="center"/>
    </xf>
    <xf numFmtId="0" fontId="2" fillId="0" borderId="0" xfId="0" quotePrefix="1" applyFont="1">
      <alignment vertical="center"/>
    </xf>
    <xf numFmtId="49" fontId="2" fillId="0" borderId="0" xfId="0" quotePrefix="1" applyNumberFormat="1" applyFont="1" applyAlignment="1">
      <alignment horizontal="right" vertical="center"/>
    </xf>
    <xf numFmtId="0" fontId="2" fillId="0" borderId="0" xfId="0" quotePrefix="1" applyFont="1" applyAlignment="1">
      <alignment horizontal="right" vertical="center"/>
    </xf>
    <xf numFmtId="176" fontId="2" fillId="0" borderId="0" xfId="0" applyNumberFormat="1" applyFont="1">
      <alignment vertical="center"/>
    </xf>
    <xf numFmtId="177" fontId="2" fillId="0" borderId="0" xfId="0" applyNumberFormat="1" applyFont="1">
      <alignment vertical="center"/>
    </xf>
    <xf numFmtId="0" fontId="2" fillId="0" borderId="2" xfId="0" applyFont="1" applyBorder="1" applyAlignment="1">
      <alignment horizontal="right" vertical="center"/>
    </xf>
    <xf numFmtId="0" fontId="2" fillId="0" borderId="3" xfId="0" applyFont="1" applyBorder="1" applyAlignment="1">
      <alignment horizontal="right" vertical="center"/>
    </xf>
    <xf numFmtId="0" fontId="2" fillId="0" borderId="3" xfId="0" applyFont="1" applyBorder="1">
      <alignment vertical="center"/>
    </xf>
    <xf numFmtId="0" fontId="2" fillId="0" borderId="4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7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2" fillId="0" borderId="8" xfId="0" applyFont="1" applyBorder="1">
      <alignment vertical="center"/>
    </xf>
    <xf numFmtId="0" fontId="2" fillId="0" borderId="9" xfId="0" applyFont="1" applyBorder="1" applyAlignment="1">
      <alignment horizontal="right" vertical="center"/>
    </xf>
    <xf numFmtId="0" fontId="2" fillId="0" borderId="4" xfId="0" applyFont="1" applyBorder="1">
      <alignment vertical="center"/>
    </xf>
    <xf numFmtId="0" fontId="2" fillId="0" borderId="6" xfId="0" applyFont="1" applyBorder="1">
      <alignment vertical="center"/>
    </xf>
    <xf numFmtId="0" fontId="2" fillId="0" borderId="9" xfId="0" applyFont="1" applyBorder="1">
      <alignment vertical="center"/>
    </xf>
    <xf numFmtId="49" fontId="2" fillId="0" borderId="3" xfId="0" applyNumberFormat="1" applyFont="1" applyBorder="1">
      <alignment vertical="center"/>
    </xf>
    <xf numFmtId="49" fontId="2" fillId="0" borderId="4" xfId="0" applyNumberFormat="1" applyFont="1" applyBorder="1">
      <alignment vertical="center"/>
    </xf>
    <xf numFmtId="0" fontId="3" fillId="0" borderId="5" xfId="0" applyFont="1" applyBorder="1" applyAlignment="1">
      <alignment horizontal="right" vertical="center"/>
    </xf>
    <xf numFmtId="0" fontId="2" fillId="0" borderId="3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right" vertical="center"/>
    </xf>
    <xf numFmtId="0" fontId="2" fillId="0" borderId="11" xfId="0" applyFont="1" applyBorder="1">
      <alignment vertical="center"/>
    </xf>
    <xf numFmtId="0" fontId="2" fillId="0" borderId="12" xfId="0" applyFont="1" applyBorder="1" applyAlignment="1">
      <alignment horizontal="right" vertical="center"/>
    </xf>
    <xf numFmtId="0" fontId="2" fillId="0" borderId="5" xfId="0" applyFont="1" applyBorder="1">
      <alignment vertical="center"/>
    </xf>
    <xf numFmtId="0" fontId="2" fillId="0" borderId="13" xfId="0" applyFont="1" applyBorder="1" applyAlignment="1">
      <alignment horizontal="right" vertical="center"/>
    </xf>
    <xf numFmtId="0" fontId="2" fillId="0" borderId="14" xfId="0" applyFont="1" applyBorder="1" applyAlignment="1">
      <alignment horizontal="right" vertical="center"/>
    </xf>
    <xf numFmtId="0" fontId="2" fillId="0" borderId="15" xfId="0" applyFont="1" applyBorder="1" applyAlignment="1">
      <alignment horizontal="right" vertical="center"/>
    </xf>
    <xf numFmtId="0" fontId="2" fillId="0" borderId="11" xfId="0" applyFont="1" applyBorder="1" applyAlignment="1">
      <alignment horizontal="right" vertical="center"/>
    </xf>
    <xf numFmtId="0" fontId="2" fillId="6" borderId="2" xfId="0" applyFont="1" applyFill="1" applyBorder="1" applyAlignment="1">
      <alignment horizontal="right" vertical="center"/>
    </xf>
    <xf numFmtId="0" fontId="2" fillId="6" borderId="3" xfId="0" applyFont="1" applyFill="1" applyBorder="1">
      <alignment vertical="center"/>
    </xf>
    <xf numFmtId="0" fontId="2" fillId="6" borderId="5" xfId="0" applyFont="1" applyFill="1" applyBorder="1" applyAlignment="1">
      <alignment horizontal="right" vertical="center"/>
    </xf>
    <xf numFmtId="0" fontId="2" fillId="6" borderId="0" xfId="0" applyFont="1" applyFill="1">
      <alignment vertical="center"/>
    </xf>
    <xf numFmtId="0" fontId="2" fillId="6" borderId="7" xfId="0" applyFont="1" applyFill="1" applyBorder="1" applyAlignment="1">
      <alignment horizontal="right" vertical="center"/>
    </xf>
    <xf numFmtId="0" fontId="2" fillId="6" borderId="8" xfId="0" applyFont="1" applyFill="1" applyBorder="1">
      <alignment vertical="center"/>
    </xf>
    <xf numFmtId="0" fontId="2" fillId="5" borderId="2" xfId="0" applyFont="1" applyFill="1" applyBorder="1" applyAlignment="1">
      <alignment horizontal="right" vertical="center"/>
    </xf>
    <xf numFmtId="0" fontId="2" fillId="5" borderId="3" xfId="0" applyFont="1" applyFill="1" applyBorder="1">
      <alignment vertical="center"/>
    </xf>
    <xf numFmtId="0" fontId="2" fillId="5" borderId="5" xfId="0" applyFont="1" applyFill="1" applyBorder="1" applyAlignment="1">
      <alignment horizontal="right" vertical="center"/>
    </xf>
    <xf numFmtId="0" fontId="2" fillId="5" borderId="0" xfId="0" applyFont="1" applyFill="1">
      <alignment vertical="center"/>
    </xf>
    <xf numFmtId="0" fontId="2" fillId="5" borderId="7" xfId="0" applyFont="1" applyFill="1" applyBorder="1" applyAlignment="1">
      <alignment horizontal="right" vertical="center"/>
    </xf>
    <xf numFmtId="0" fontId="2" fillId="5" borderId="8" xfId="0" applyFont="1" applyFill="1" applyBorder="1">
      <alignment vertical="center"/>
    </xf>
    <xf numFmtId="0" fontId="4" fillId="5" borderId="2" xfId="0" applyFont="1" applyFill="1" applyBorder="1" applyAlignment="1">
      <alignment horizontal="right" vertical="center"/>
    </xf>
    <xf numFmtId="0" fontId="4" fillId="5" borderId="7" xfId="0" applyFont="1" applyFill="1" applyBorder="1" applyAlignment="1">
      <alignment horizontal="right" vertical="center"/>
    </xf>
    <xf numFmtId="0" fontId="4" fillId="6" borderId="10" xfId="0" applyFont="1" applyFill="1" applyBorder="1" applyAlignment="1">
      <alignment horizontal="right" vertical="center"/>
    </xf>
    <xf numFmtId="0" fontId="4" fillId="6" borderId="11" xfId="0" applyFont="1" applyFill="1" applyBorder="1" applyAlignment="1">
      <alignment horizontal="right" vertical="center"/>
    </xf>
    <xf numFmtId="49" fontId="2" fillId="7" borderId="0" xfId="0" quotePrefix="1" applyNumberFormat="1" applyFont="1" applyFill="1" applyAlignment="1">
      <alignment horizontal="right" vertical="center"/>
    </xf>
    <xf numFmtId="0" fontId="2" fillId="7" borderId="0" xfId="0" quotePrefix="1" applyFont="1" applyFill="1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8" borderId="0" xfId="0" applyFill="1">
      <alignment vertical="center"/>
    </xf>
    <xf numFmtId="0" fontId="0" fillId="3" borderId="0" xfId="0" applyFill="1">
      <alignment vertical="center"/>
    </xf>
    <xf numFmtId="0" fontId="2" fillId="9" borderId="0" xfId="0" applyFont="1" applyFill="1" applyAlignment="1">
      <alignment horizontal="center" vertical="center"/>
    </xf>
    <xf numFmtId="0" fontId="2" fillId="10" borderId="0" xfId="0" applyFont="1" applyFill="1" applyAlignment="1">
      <alignment horizontal="center" vertical="center"/>
    </xf>
    <xf numFmtId="0" fontId="2" fillId="6" borderId="3" xfId="0" applyFont="1" applyFill="1" applyBorder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2" fillId="6" borderId="8" xfId="0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2" fillId="6" borderId="4" xfId="0" applyFont="1" applyFill="1" applyBorder="1">
      <alignment vertical="center"/>
    </xf>
    <xf numFmtId="0" fontId="2" fillId="6" borderId="6" xfId="0" applyFont="1" applyFill="1" applyBorder="1">
      <alignment vertical="center"/>
    </xf>
    <xf numFmtId="0" fontId="2" fillId="6" borderId="9" xfId="0" applyFont="1" applyFill="1" applyBorder="1">
      <alignment vertical="center"/>
    </xf>
    <xf numFmtId="0" fontId="2" fillId="12" borderId="0" xfId="0" applyFont="1" applyFill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1" borderId="2" xfId="0" applyFont="1" applyFill="1" applyBorder="1" applyAlignment="1">
      <alignment horizontal="center" vertical="center"/>
    </xf>
    <xf numFmtId="0" fontId="2" fillId="12" borderId="3" xfId="0" applyFont="1" applyFill="1" applyBorder="1" applyAlignment="1">
      <alignment horizontal="center" vertical="center"/>
    </xf>
    <xf numFmtId="0" fontId="2" fillId="10" borderId="3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13" borderId="4" xfId="0" applyFont="1" applyFill="1" applyBorder="1" applyAlignment="1">
      <alignment horizontal="center" vertical="center"/>
    </xf>
    <xf numFmtId="177" fontId="2" fillId="0" borderId="9" xfId="0" applyNumberFormat="1" applyFont="1" applyBorder="1" applyAlignment="1">
      <alignment horizontal="right" vertical="center"/>
    </xf>
    <xf numFmtId="0" fontId="2" fillId="13" borderId="13" xfId="0" applyFont="1" applyFill="1" applyBorder="1" applyAlignment="1">
      <alignment horizontal="center" vertical="center"/>
    </xf>
    <xf numFmtId="177" fontId="2" fillId="0" borderId="15" xfId="0" applyNumberFormat="1" applyFont="1" applyBorder="1" applyAlignment="1">
      <alignment horizontal="right" vertical="center"/>
    </xf>
    <xf numFmtId="178" fontId="2" fillId="0" borderId="0" xfId="0" applyNumberFormat="1" applyFont="1">
      <alignment vertical="center"/>
    </xf>
    <xf numFmtId="179" fontId="2" fillId="0" borderId="0" xfId="0" applyNumberFormat="1" applyFont="1">
      <alignment vertical="center"/>
    </xf>
    <xf numFmtId="0" fontId="2" fillId="0" borderId="3" xfId="0" applyFont="1" applyBorder="1" applyAlignment="1">
      <alignment horizontal="right" vertical="center"/>
    </xf>
    <xf numFmtId="0" fontId="2" fillId="0" borderId="4" xfId="0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6" xfId="0" applyFont="1" applyBorder="1" applyAlignment="1">
      <alignment horizontal="right" vertical="center"/>
    </xf>
    <xf numFmtId="0" fontId="2" fillId="0" borderId="8" xfId="0" applyFont="1" applyBorder="1" applyAlignment="1">
      <alignment horizontal="right" vertical="center"/>
    </xf>
    <xf numFmtId="0" fontId="2" fillId="0" borderId="9" xfId="0" applyFont="1" applyBorder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3" fillId="5" borderId="7" xfId="0" applyFont="1" applyFill="1" applyBorder="1" applyAlignment="1">
      <alignment horizontal="right" vertical="center"/>
    </xf>
    <xf numFmtId="0" fontId="3" fillId="5" borderId="9" xfId="0" applyFont="1" applyFill="1" applyBorder="1" applyAlignment="1">
      <alignment horizontal="right" vertical="center"/>
    </xf>
    <xf numFmtId="0" fontId="2" fillId="3" borderId="1" xfId="0" applyFont="1" applyFill="1" applyBorder="1" applyAlignment="1">
      <alignment horizontal="center" vertical="center"/>
    </xf>
    <xf numFmtId="49" fontId="2" fillId="0" borderId="2" xfId="0" applyNumberFormat="1" applyFont="1" applyBorder="1" applyAlignment="1">
      <alignment horizontal="right" vertical="center"/>
    </xf>
    <xf numFmtId="49" fontId="2" fillId="0" borderId="4" xfId="0" applyNumberFormat="1" applyFont="1" applyBorder="1" applyAlignment="1">
      <alignment horizontal="right" vertical="center"/>
    </xf>
    <xf numFmtId="177" fontId="2" fillId="0" borderId="5" xfId="0" applyNumberFormat="1" applyFont="1" applyBorder="1" applyAlignment="1">
      <alignment horizontal="right" vertical="center"/>
    </xf>
    <xf numFmtId="177" fontId="2" fillId="0" borderId="6" xfId="0" applyNumberFormat="1" applyFont="1" applyBorder="1" applyAlignment="1">
      <alignment horizontal="right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0" borderId="3" xfId="0" applyNumberFormat="1" applyFont="1" applyBorder="1" applyAlignment="1">
      <alignment horizontal="right" vertical="center"/>
    </xf>
    <xf numFmtId="49" fontId="2" fillId="0" borderId="0" xfId="0" applyNumberFormat="1" applyFont="1" applyAlignment="1">
      <alignment horizontal="right" vertical="center"/>
    </xf>
    <xf numFmtId="0" fontId="2" fillId="6" borderId="3" xfId="0" applyFont="1" applyFill="1" applyBorder="1" applyAlignment="1">
      <alignment horizontal="right" vertical="center"/>
    </xf>
    <xf numFmtId="0" fontId="2" fillId="6" borderId="4" xfId="0" applyFont="1" applyFill="1" applyBorder="1" applyAlignment="1">
      <alignment horizontal="right" vertical="center"/>
    </xf>
    <xf numFmtId="0" fontId="2" fillId="6" borderId="0" xfId="0" applyFont="1" applyFill="1" applyAlignment="1">
      <alignment horizontal="right" vertical="center"/>
    </xf>
    <xf numFmtId="0" fontId="2" fillId="6" borderId="6" xfId="0" applyFont="1" applyFill="1" applyBorder="1" applyAlignment="1">
      <alignment horizontal="right" vertical="center"/>
    </xf>
    <xf numFmtId="0" fontId="2" fillId="6" borderId="8" xfId="0" applyFont="1" applyFill="1" applyBorder="1" applyAlignment="1">
      <alignment horizontal="right" vertical="center"/>
    </xf>
    <xf numFmtId="0" fontId="2" fillId="6" borderId="9" xfId="0" applyFont="1" applyFill="1" applyBorder="1" applyAlignment="1">
      <alignment horizontal="right" vertical="center"/>
    </xf>
    <xf numFmtId="0" fontId="2" fillId="5" borderId="3" xfId="0" applyFont="1" applyFill="1" applyBorder="1" applyAlignment="1">
      <alignment horizontal="right" vertical="center"/>
    </xf>
    <xf numFmtId="0" fontId="2" fillId="5" borderId="4" xfId="0" applyFont="1" applyFill="1" applyBorder="1" applyAlignment="1">
      <alignment horizontal="right" vertical="center"/>
    </xf>
    <xf numFmtId="0" fontId="2" fillId="5" borderId="0" xfId="0" applyFont="1" applyFill="1" applyAlignment="1">
      <alignment horizontal="right" vertical="center"/>
    </xf>
    <xf numFmtId="0" fontId="2" fillId="5" borderId="6" xfId="0" applyFont="1" applyFill="1" applyBorder="1" applyAlignment="1">
      <alignment horizontal="right" vertical="center"/>
    </xf>
    <xf numFmtId="0" fontId="2" fillId="5" borderId="8" xfId="0" applyFont="1" applyFill="1" applyBorder="1" applyAlignment="1">
      <alignment horizontal="right" vertical="center"/>
    </xf>
    <xf numFmtId="0" fontId="2" fillId="5" borderId="9" xfId="0" applyFont="1" applyFill="1" applyBorder="1" applyAlignment="1">
      <alignment horizontal="right" vertical="center"/>
    </xf>
    <xf numFmtId="0" fontId="4" fillId="5" borderId="8" xfId="0" applyFont="1" applyFill="1" applyBorder="1" applyAlignment="1">
      <alignment horizontal="right" vertical="center"/>
    </xf>
    <xf numFmtId="0" fontId="4" fillId="5" borderId="9" xfId="0" applyFont="1" applyFill="1" applyBorder="1" applyAlignment="1">
      <alignment horizontal="right" vertical="center"/>
    </xf>
    <xf numFmtId="0" fontId="4" fillId="5" borderId="3" xfId="0" applyFont="1" applyFill="1" applyBorder="1" applyAlignment="1">
      <alignment horizontal="right" vertical="center"/>
    </xf>
    <xf numFmtId="0" fontId="4" fillId="5" borderId="4" xfId="0" applyFont="1" applyFill="1" applyBorder="1" applyAlignment="1">
      <alignment horizontal="right" vertical="center"/>
    </xf>
    <xf numFmtId="0" fontId="4" fillId="6" borderId="11" xfId="0" applyFont="1" applyFill="1" applyBorder="1" applyAlignment="1">
      <alignment horizontal="right" vertical="center"/>
    </xf>
    <xf numFmtId="0" fontId="4" fillId="6" borderId="12" xfId="0" applyFont="1" applyFill="1" applyBorder="1" applyAlignment="1">
      <alignment horizontal="right" vertical="center"/>
    </xf>
  </cellXfs>
  <cellStyles count="1">
    <cellStyle name="표준" xfId="0" builtinId="0"/>
  </cellStyles>
  <dxfs count="30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</xdr:row>
      <xdr:rowOff>0</xdr:rowOff>
    </xdr:from>
    <xdr:to>
      <xdr:col>14</xdr:col>
      <xdr:colOff>1566808</xdr:colOff>
      <xdr:row>2</xdr:row>
      <xdr:rowOff>190447</xdr:rowOff>
    </xdr:to>
    <xdr:pic macro="[0]!SplitCurrentCellEachCharToRight">
      <xdr:nvPicPr>
        <xdr:cNvPr id="5" name="그림 4">
          <a:extLst>
            <a:ext uri="{FF2B5EF4-FFF2-40B4-BE49-F238E27FC236}">
              <a16:creationId xmlns:a16="http://schemas.microsoft.com/office/drawing/2014/main" id="{83845834-2C84-406A-9C91-86947337F8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43118" y="224118"/>
          <a:ext cx="1566808" cy="41456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23</xdr:col>
      <xdr:colOff>0</xdr:colOff>
      <xdr:row>1</xdr:row>
      <xdr:rowOff>0</xdr:rowOff>
    </xdr:from>
    <xdr:to>
      <xdr:col>23</xdr:col>
      <xdr:colOff>1566808</xdr:colOff>
      <xdr:row>2</xdr:row>
      <xdr:rowOff>190447</xdr:rowOff>
    </xdr:to>
    <xdr:pic macro="[0]!SplitCurrentCellEachCharToRight">
      <xdr:nvPicPr>
        <xdr:cNvPr id="2" name="그림 1">
          <a:extLst>
            <a:ext uri="{FF2B5EF4-FFF2-40B4-BE49-F238E27FC236}">
              <a16:creationId xmlns:a16="http://schemas.microsoft.com/office/drawing/2014/main" id="{F195C3BC-74A1-4A49-8565-732251EBE6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97100" y="222250"/>
          <a:ext cx="1566808" cy="41269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15</xdr:col>
      <xdr:colOff>1566808</xdr:colOff>
      <xdr:row>2</xdr:row>
      <xdr:rowOff>190447</xdr:rowOff>
    </xdr:to>
    <xdr:pic macro="[0]!SplitCurrentCellEachCharToRight">
      <xdr:nvPicPr>
        <xdr:cNvPr id="2" name="그림 1">
          <a:extLst>
            <a:ext uri="{FF2B5EF4-FFF2-40B4-BE49-F238E27FC236}">
              <a16:creationId xmlns:a16="http://schemas.microsoft.com/office/drawing/2014/main" id="{50D2DDD0-5D5D-456F-A7C4-6D305CEC9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97100" y="222250"/>
          <a:ext cx="1566808" cy="41269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15</xdr:col>
      <xdr:colOff>0</xdr:colOff>
      <xdr:row>1</xdr:row>
      <xdr:rowOff>0</xdr:rowOff>
    </xdr:from>
    <xdr:to>
      <xdr:col>15</xdr:col>
      <xdr:colOff>1566808</xdr:colOff>
      <xdr:row>2</xdr:row>
      <xdr:rowOff>190447</xdr:rowOff>
    </xdr:to>
    <xdr:pic macro="[0]!SplitCurrentCellEachCharToRight">
      <xdr:nvPicPr>
        <xdr:cNvPr id="2" name="그림 1">
          <a:extLst>
            <a:ext uri="{FF2B5EF4-FFF2-40B4-BE49-F238E27FC236}">
              <a16:creationId xmlns:a16="http://schemas.microsoft.com/office/drawing/2014/main" id="{8FAEAFD7-6BBC-4D8C-8BE0-E787BE900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03550" y="222250"/>
          <a:ext cx="1566808" cy="41269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0</xdr:colOff>
      <xdr:row>1</xdr:row>
      <xdr:rowOff>0</xdr:rowOff>
    </xdr:from>
    <xdr:to>
      <xdr:col>19</xdr:col>
      <xdr:colOff>1566808</xdr:colOff>
      <xdr:row>2</xdr:row>
      <xdr:rowOff>190447</xdr:rowOff>
    </xdr:to>
    <xdr:pic macro="[0]!SplitCurrentCellEachCharToRight">
      <xdr:nvPicPr>
        <xdr:cNvPr id="2" name="그림 1">
          <a:extLst>
            <a:ext uri="{FF2B5EF4-FFF2-40B4-BE49-F238E27FC236}">
              <a16:creationId xmlns:a16="http://schemas.microsoft.com/office/drawing/2014/main" id="{9D211397-5D9A-448E-9E99-175A72759BA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703550" y="222250"/>
          <a:ext cx="1566808" cy="41269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9</xdr:row>
      <xdr:rowOff>209550</xdr:rowOff>
    </xdr:from>
    <xdr:to>
      <xdr:col>15</xdr:col>
      <xdr:colOff>12700</xdr:colOff>
      <xdr:row>12</xdr:row>
      <xdr:rowOff>6350</xdr:rowOff>
    </xdr:to>
    <xdr:sp macro="" textlink="">
      <xdr:nvSpPr>
        <xdr:cNvPr id="3" name="직사각형 2">
          <a:extLst>
            <a:ext uri="{FF2B5EF4-FFF2-40B4-BE49-F238E27FC236}">
              <a16:creationId xmlns:a16="http://schemas.microsoft.com/office/drawing/2014/main" id="{A1BB8835-5F01-4C99-8CD7-3C0F2B02FAC7}"/>
            </a:ext>
          </a:extLst>
        </xdr:cNvPr>
        <xdr:cNvSpPr/>
      </xdr:nvSpPr>
      <xdr:spPr>
        <a:xfrm>
          <a:off x="4686300" y="2209800"/>
          <a:ext cx="5511800" cy="463550"/>
        </a:xfrm>
        <a:prstGeom prst="rect">
          <a:avLst/>
        </a:prstGeom>
        <a:solidFill>
          <a:schemeClr val="bg1">
            <a:lumMod val="65000"/>
            <a:alpha val="48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14-bit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22</xdr:col>
      <xdr:colOff>6350</xdr:colOff>
      <xdr:row>4</xdr:row>
      <xdr:rowOff>209550</xdr:rowOff>
    </xdr:from>
    <xdr:to>
      <xdr:col>36</xdr:col>
      <xdr:colOff>6350</xdr:colOff>
      <xdr:row>7</xdr:row>
      <xdr:rowOff>6350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F05DB0A1-B121-4506-A02F-F4DB8ED76148}"/>
            </a:ext>
          </a:extLst>
        </xdr:cNvPr>
        <xdr:cNvSpPr/>
      </xdr:nvSpPr>
      <xdr:spPr>
        <a:xfrm>
          <a:off x="12947650" y="1098550"/>
          <a:ext cx="5511800" cy="463550"/>
        </a:xfrm>
        <a:prstGeom prst="rect">
          <a:avLst/>
        </a:prstGeom>
        <a:solidFill>
          <a:schemeClr val="bg1">
            <a:lumMod val="65000"/>
            <a:alpha val="48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b"/>
        <a:lstStyle/>
        <a:p>
          <a:pPr algn="ctr"/>
          <a:r>
            <a:rPr lang="en-US" altLang="ko-KR" sz="1100" b="1">
              <a:solidFill>
                <a:srgbClr val="FF0000"/>
              </a:solidFill>
            </a:rPr>
            <a:t>14-bit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DAFBFE-5136-49EA-8028-C345E812BAAD}">
  <sheetPr codeName="Sheet1"/>
  <dimension ref="A1:R56"/>
  <sheetViews>
    <sheetView showGridLines="0" zoomScale="85" zoomScaleNormal="85" workbookViewId="0">
      <selection activeCell="M50" sqref="M50"/>
    </sheetView>
  </sheetViews>
  <sheetFormatPr defaultRowHeight="15.5" x14ac:dyDescent="0.45"/>
  <cols>
    <col min="1" max="1" width="36.61328125" style="2" customWidth="1"/>
    <col min="2" max="8" width="12.07421875" style="2" customWidth="1"/>
    <col min="9" max="10" width="12.15234375" style="2" customWidth="1"/>
    <col min="11" max="11" width="8.3046875" style="2" customWidth="1"/>
    <col min="12" max="12" width="4.3046875" style="2" customWidth="1"/>
    <col min="13" max="13" width="17.3046875" style="2" customWidth="1"/>
    <col min="14" max="14" width="5.07421875" style="2" customWidth="1"/>
    <col min="15" max="15" width="19" style="3" customWidth="1"/>
    <col min="16" max="16" width="2.921875" style="3" customWidth="1"/>
    <col min="17" max="17" width="2.921875" style="1" customWidth="1"/>
    <col min="18" max="39" width="2.921875" style="2" customWidth="1"/>
    <col min="40" max="16384" width="9.23046875" style="2"/>
  </cols>
  <sheetData>
    <row r="1" spans="1:18" ht="17.5" customHeight="1" x14ac:dyDescent="0.45">
      <c r="B1" s="93" t="s">
        <v>4</v>
      </c>
      <c r="C1" s="93"/>
      <c r="D1" s="94" t="s">
        <v>5</v>
      </c>
      <c r="E1" s="94"/>
      <c r="F1" s="88" t="s">
        <v>6</v>
      </c>
      <c r="G1" s="88"/>
      <c r="I1" s="88" t="s">
        <v>18</v>
      </c>
      <c r="J1" s="88"/>
    </row>
    <row r="2" spans="1:18" ht="17.5" customHeight="1" x14ac:dyDescent="0.45">
      <c r="A2" s="32" t="s">
        <v>0</v>
      </c>
      <c r="B2" s="89" t="s">
        <v>77</v>
      </c>
      <c r="C2" s="90"/>
      <c r="D2" s="89" t="s">
        <v>78</v>
      </c>
      <c r="E2" s="90"/>
      <c r="F2" s="89" t="s">
        <v>79</v>
      </c>
      <c r="G2" s="90"/>
      <c r="I2" s="89" t="s">
        <v>80</v>
      </c>
      <c r="J2" s="90"/>
      <c r="L2" s="2">
        <v>16</v>
      </c>
      <c r="M2" s="8">
        <f t="shared" ref="M2:M17" si="0">2^(L2)</f>
        <v>65536</v>
      </c>
    </row>
    <row r="3" spans="1:18" ht="17.5" customHeight="1" x14ac:dyDescent="0.45">
      <c r="A3" s="33" t="s">
        <v>19</v>
      </c>
      <c r="B3" s="91" cm="1">
        <f t="array" ref="B3">FP16HexToDecimal(B2)</f>
        <v>2.1326541900634766E-4</v>
      </c>
      <c r="C3" s="92"/>
      <c r="D3" s="91" cm="1">
        <f t="array" ref="D3">FP16HexToDecimal(D2)</f>
        <v>6.1094760894775391E-5</v>
      </c>
      <c r="E3" s="92"/>
      <c r="F3" s="91" cm="1">
        <f t="array" ref="F3">FP16HexToDecimal(F2)</f>
        <v>2.7441978454589844E-4</v>
      </c>
      <c r="G3" s="92"/>
      <c r="H3" s="1"/>
      <c r="I3" s="91" cm="1">
        <f t="array" ref="I3">FP16HexToDecimal(I2)</f>
        <v>2.7418136596679688E-4</v>
      </c>
      <c r="J3" s="92"/>
      <c r="L3" s="2">
        <v>15</v>
      </c>
      <c r="M3" s="8">
        <f t="shared" si="0"/>
        <v>32768</v>
      </c>
    </row>
    <row r="4" spans="1:18" ht="17.5" customHeight="1" x14ac:dyDescent="0.45">
      <c r="A4" s="33" t="s">
        <v>28</v>
      </c>
      <c r="B4" s="91">
        <f>2^(B15-9)</f>
        <v>2.384185791015625E-7</v>
      </c>
      <c r="C4" s="92"/>
      <c r="D4" s="91">
        <f>2^(D15-9)</f>
        <v>1.1920928955078125E-7</v>
      </c>
      <c r="E4" s="92"/>
      <c r="F4" s="91">
        <f>2^(F15-9)</f>
        <v>4.76837158203125E-7</v>
      </c>
      <c r="G4" s="92"/>
      <c r="H4" s="1"/>
      <c r="I4" s="91">
        <f>2^(I15-9)</f>
        <v>4.76837158203125E-7</v>
      </c>
      <c r="J4" s="92"/>
      <c r="L4" s="2">
        <v>14</v>
      </c>
      <c r="M4" s="8">
        <f t="shared" si="0"/>
        <v>16384</v>
      </c>
    </row>
    <row r="5" spans="1:18" ht="17.5" customHeight="1" x14ac:dyDescent="0.45">
      <c r="A5" s="33" t="s">
        <v>1</v>
      </c>
      <c r="B5" s="85" t="str" cm="1">
        <f t="array" ref="B5">(MY_HEX2BIN(B2))</f>
        <v>0000101011111101</v>
      </c>
      <c r="C5" s="82"/>
      <c r="D5" s="85" t="str" cm="1">
        <f t="array" ref="D5">(MY_HEX2BIN(D2))</f>
        <v>0000010000000001</v>
      </c>
      <c r="E5" s="82"/>
      <c r="F5" s="85" t="str" cm="1">
        <f t="array" ref="F5">(MY_HEX2BIN(F2))</f>
        <v>0000110001111111</v>
      </c>
      <c r="G5" s="82"/>
      <c r="I5" s="85" t="str" cm="1">
        <f t="array" ref="I5">(MY_HEX2BIN(I2))</f>
        <v>0000110001111110</v>
      </c>
      <c r="J5" s="82"/>
      <c r="L5" s="2">
        <v>13</v>
      </c>
      <c r="M5" s="8">
        <f t="shared" si="0"/>
        <v>8192</v>
      </c>
      <c r="P5" s="5"/>
    </row>
    <row r="6" spans="1:18" ht="17.5" customHeight="1" x14ac:dyDescent="0.45">
      <c r="A6" s="33"/>
      <c r="B6" s="85" t="str" cm="1">
        <f t="array" ref="B6">InsertSpaceEvery4Chars(B5)</f>
        <v>0000 1010 1111 1101</v>
      </c>
      <c r="C6" s="82"/>
      <c r="D6" s="85" t="str" cm="1">
        <f t="array" ref="D6">InsertSpaceEvery4Chars(D5)</f>
        <v>0000 0100 0000 0001</v>
      </c>
      <c r="E6" s="82"/>
      <c r="F6" s="85" t="str" cm="1">
        <f t="array" ref="F6">InsertSpaceEvery4Chars(F5)</f>
        <v>0000 1100 0111 1111</v>
      </c>
      <c r="G6" s="82"/>
      <c r="I6" s="85" t="str" cm="1">
        <f t="array" ref="I6">InsertSpaceEvery4Chars(I5)</f>
        <v>0000 1100 0111 1110</v>
      </c>
      <c r="J6" s="82"/>
      <c r="L6" s="2">
        <v>12</v>
      </c>
      <c r="M6" s="8">
        <f t="shared" si="0"/>
        <v>4096</v>
      </c>
      <c r="P6" s="5"/>
      <c r="Q6" s="6"/>
      <c r="R6" s="4"/>
    </row>
    <row r="7" spans="1:18" ht="17.5" customHeight="1" x14ac:dyDescent="0.45">
      <c r="A7" s="33" t="s">
        <v>2</v>
      </c>
      <c r="B7" s="85" t="str" cm="1">
        <f t="array" ref="B7">SplitBinary(B5, 1, 6)</f>
        <v>0 | 0 0010 | 10 1111 1101</v>
      </c>
      <c r="C7" s="82"/>
      <c r="D7" s="85" t="str" cm="1">
        <f t="array" ref="D7">SplitBinary(D5, 1, 6)</f>
        <v>0 | 0 0001 | 00 0000 0001</v>
      </c>
      <c r="E7" s="82"/>
      <c r="F7" s="85" t="str" cm="1">
        <f t="array" ref="F7">SplitBinary(F5, 1, 6)</f>
        <v>0 | 0 0011 | 00 0111 1111</v>
      </c>
      <c r="G7" s="82"/>
      <c r="I7" s="85" t="str" cm="1">
        <f t="array" ref="I7">SplitBinary(I5, 1, 6)</f>
        <v>0 | 0 0011 | 00 0111 1110</v>
      </c>
      <c r="J7" s="82"/>
      <c r="L7" s="2">
        <v>11</v>
      </c>
      <c r="M7" s="8">
        <f t="shared" si="0"/>
        <v>2048</v>
      </c>
      <c r="O7" s="1"/>
      <c r="P7" s="6"/>
    </row>
    <row r="8" spans="1:18" ht="17.5" customHeight="1" x14ac:dyDescent="0.45">
      <c r="A8" s="33"/>
      <c r="B8" s="85" t="str" cm="1">
        <f t="array" ref="B8">BinPartsToHex(B7)</f>
        <v>0 | 2 | 2FD</v>
      </c>
      <c r="C8" s="82"/>
      <c r="D8" s="85" t="str" cm="1">
        <f t="array" ref="D8">BinPartsToHex(D7)</f>
        <v>0 | 1 | 1</v>
      </c>
      <c r="E8" s="82"/>
      <c r="F8" s="85" t="str" cm="1">
        <f t="array" ref="F8">BinPartsToHex(F7)</f>
        <v>0 | 3 | 7F</v>
      </c>
      <c r="G8" s="82"/>
      <c r="I8" s="85" t="str" cm="1">
        <f t="array" ref="I8">BinPartsToHex(I7)</f>
        <v>0 | 3 | 7E</v>
      </c>
      <c r="J8" s="82"/>
      <c r="L8" s="2">
        <v>10</v>
      </c>
      <c r="M8" s="8">
        <f t="shared" si="0"/>
        <v>1024</v>
      </c>
      <c r="P8" s="5"/>
    </row>
    <row r="9" spans="1:18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0</v>
      </c>
      <c r="E9" s="14" t="str" cm="1">
        <f t="array" ref="E9">GetPipePart(D$8, 1)</f>
        <v>0</v>
      </c>
      <c r="F9" s="13">
        <f>HEX2DEC(G9)</f>
        <v>0</v>
      </c>
      <c r="G9" s="14" t="str" cm="1">
        <f t="array" ref="G9">GetPipePart(F$8, 1)</f>
        <v>0</v>
      </c>
      <c r="I9" s="13">
        <f>HEX2DEC(J9)</f>
        <v>0</v>
      </c>
      <c r="J9" s="14" t="str" cm="1">
        <f t="array" ref="J9">GetPipePart(I$8, 1)</f>
        <v>0</v>
      </c>
      <c r="L9" s="2">
        <v>9</v>
      </c>
      <c r="M9" s="8">
        <f t="shared" si="0"/>
        <v>512</v>
      </c>
      <c r="N9" s="1"/>
      <c r="P9" s="5"/>
    </row>
    <row r="10" spans="1:18" x14ac:dyDescent="0.45">
      <c r="A10" s="33" t="s">
        <v>24</v>
      </c>
      <c r="B10" s="13">
        <f t="shared" ref="B10:D11" si="1">HEX2DEC(C10)</f>
        <v>2</v>
      </c>
      <c r="C10" s="14" t="str" cm="1">
        <f t="array" ref="C10">GetPipePart(B$8, 2)</f>
        <v>2</v>
      </c>
      <c r="D10" s="13">
        <f t="shared" si="1"/>
        <v>1</v>
      </c>
      <c r="E10" s="14" t="str" cm="1">
        <f t="array" ref="E10">GetPipePart(D$8, 2)</f>
        <v>1</v>
      </c>
      <c r="F10" s="13">
        <f t="shared" ref="F10" si="2">HEX2DEC(G10)</f>
        <v>3</v>
      </c>
      <c r="G10" s="14" t="str" cm="1">
        <f t="array" ref="G10">GetPipePart(F$8, 2)</f>
        <v>3</v>
      </c>
      <c r="I10" s="13">
        <f t="shared" ref="I10" si="3">HEX2DEC(J10)</f>
        <v>3</v>
      </c>
      <c r="J10" s="14" t="str" cm="1">
        <f t="array" ref="J10">GetPipePart(I$8, 2)</f>
        <v>3</v>
      </c>
      <c r="L10" s="2">
        <v>8</v>
      </c>
      <c r="M10" s="8">
        <f t="shared" si="0"/>
        <v>256</v>
      </c>
      <c r="N10" s="1"/>
      <c r="P10" s="5"/>
    </row>
    <row r="11" spans="1:18" x14ac:dyDescent="0.45">
      <c r="A11" s="33" t="s">
        <v>25</v>
      </c>
      <c r="B11" s="13">
        <f t="shared" si="1"/>
        <v>765</v>
      </c>
      <c r="C11" s="14" t="str" cm="1">
        <f t="array" ref="C11">GetPipePart(B$8, 3)</f>
        <v>2FD</v>
      </c>
      <c r="D11" s="13">
        <f t="shared" si="1"/>
        <v>1</v>
      </c>
      <c r="E11" s="14" t="str" cm="1">
        <f t="array" ref="E11">GetPipePart(D$8, 3)</f>
        <v>1</v>
      </c>
      <c r="F11" s="13">
        <f t="shared" ref="F11" si="4">HEX2DEC(G11)</f>
        <v>127</v>
      </c>
      <c r="G11" s="14" t="str" cm="1">
        <f t="array" ref="G11">GetPipePart(F$8, 3)</f>
        <v>7F</v>
      </c>
      <c r="I11" s="13">
        <f t="shared" ref="I11" si="5">HEX2DEC(J11)</f>
        <v>126</v>
      </c>
      <c r="J11" s="14" t="str" cm="1">
        <f t="array" ref="J11">GetPipePart(I$8, 3)</f>
        <v>7E</v>
      </c>
      <c r="L11" s="2">
        <v>7</v>
      </c>
      <c r="M11" s="8">
        <f t="shared" si="0"/>
        <v>128</v>
      </c>
      <c r="N11" s="1"/>
      <c r="Q11" s="6"/>
    </row>
    <row r="12" spans="1:18" x14ac:dyDescent="0.45">
      <c r="A12" s="33"/>
      <c r="B12" s="13"/>
      <c r="C12" s="14"/>
      <c r="D12" s="13"/>
      <c r="E12" s="14"/>
      <c r="F12" s="13"/>
      <c r="G12" s="14"/>
      <c r="I12" s="13"/>
      <c r="J12" s="14"/>
      <c r="L12" s="2">
        <v>6</v>
      </c>
      <c r="M12" s="8">
        <f t="shared" si="0"/>
        <v>64</v>
      </c>
      <c r="P12" s="5"/>
    </row>
    <row r="13" spans="1:18" x14ac:dyDescent="0.45">
      <c r="A13" s="34" t="s">
        <v>20</v>
      </c>
      <c r="B13" s="86" t="str">
        <f>IF(C10="0","Denormal",IF(AND(C11="0", C10="1F"),"Infinite",IF(AND(C11&lt;&gt;"0", C10="1F"),"NaN","Normal")))</f>
        <v>Normal</v>
      </c>
      <c r="C13" s="87"/>
      <c r="D13" s="86" t="str">
        <f t="shared" ref="D13" si="6">IF(E10="0","Denormal",IF(AND(E11="0", E10="1F"),"Infinite",IF(AND(E11&lt;&gt;"0", E10="1F"),"NaN","Normal")))</f>
        <v>Normal</v>
      </c>
      <c r="E13" s="87"/>
      <c r="F13" s="86" t="str">
        <f t="shared" ref="F13:I13" si="7">IF(G10="0","Denormal",IF(AND(G11="0", G10="1F"),"Infinite",IF(AND(G11&lt;&gt;"0", G10="1F"),"NaN","Normal")))</f>
        <v>Normal</v>
      </c>
      <c r="G13" s="87"/>
      <c r="I13" s="86" t="str">
        <f t="shared" si="7"/>
        <v>Normal</v>
      </c>
      <c r="J13" s="87"/>
      <c r="L13" s="2">
        <v>5</v>
      </c>
      <c r="M13" s="8">
        <f t="shared" si="0"/>
        <v>32</v>
      </c>
      <c r="P13" s="5"/>
    </row>
    <row r="14" spans="1:18" x14ac:dyDescent="0.45">
      <c r="A14" s="1"/>
      <c r="B14" s="1"/>
      <c r="C14" s="1"/>
      <c r="D14" s="1"/>
      <c r="E14" s="1"/>
      <c r="F14" s="1"/>
      <c r="G14" s="1"/>
      <c r="I14" s="1"/>
      <c r="J14" s="1"/>
      <c r="L14" s="2">
        <v>4</v>
      </c>
      <c r="M14" s="8">
        <f t="shared" si="0"/>
        <v>16</v>
      </c>
      <c r="P14" s="5"/>
    </row>
    <row r="15" spans="1:18" ht="17.5" customHeight="1" x14ac:dyDescent="0.45">
      <c r="A15" s="9" t="s">
        <v>30</v>
      </c>
      <c r="B15" s="79">
        <f>B10-15</f>
        <v>-13</v>
      </c>
      <c r="C15" s="79"/>
      <c r="D15" s="79">
        <f t="shared" ref="D15" si="8">D10-15</f>
        <v>-14</v>
      </c>
      <c r="E15" s="79"/>
      <c r="F15" s="79">
        <f t="shared" ref="F15:I15" si="9">F10-15</f>
        <v>-12</v>
      </c>
      <c r="G15" s="79"/>
      <c r="H15" s="11"/>
      <c r="I15" s="79">
        <f t="shared" si="9"/>
        <v>-12</v>
      </c>
      <c r="J15" s="80"/>
      <c r="L15" s="2">
        <v>3</v>
      </c>
      <c r="M15" s="8">
        <f t="shared" si="0"/>
        <v>8</v>
      </c>
      <c r="P15" s="5"/>
    </row>
    <row r="16" spans="1:18" x14ac:dyDescent="0.45">
      <c r="A16" s="13" t="s">
        <v>17</v>
      </c>
      <c r="B16" s="81">
        <f>IF(B10 &gt; D10, 0, ABS(B10 - D10))</f>
        <v>0</v>
      </c>
      <c r="C16" s="81"/>
      <c r="D16" s="81">
        <f>IF(D10 &gt; B10, 0, ABS(D10 - B10))</f>
        <v>1</v>
      </c>
      <c r="E16" s="81"/>
      <c r="F16" s="1"/>
      <c r="G16" s="1"/>
      <c r="I16" s="1"/>
      <c r="J16" s="20"/>
      <c r="L16" s="2">
        <v>2</v>
      </c>
      <c r="M16" s="8">
        <f t="shared" si="0"/>
        <v>4</v>
      </c>
      <c r="P16" s="5"/>
    </row>
    <row r="17" spans="1:16" x14ac:dyDescent="0.45">
      <c r="A17" s="15" t="s">
        <v>26</v>
      </c>
      <c r="B17" s="83" t="str">
        <f>DEC2HEX(B16)</f>
        <v>0</v>
      </c>
      <c r="C17" s="83"/>
      <c r="D17" s="83" t="str">
        <f>DEC2HEX(D16)</f>
        <v>1</v>
      </c>
      <c r="E17" s="83"/>
      <c r="F17" s="16"/>
      <c r="G17" s="16"/>
      <c r="H17" s="17"/>
      <c r="I17" s="16"/>
      <c r="J17" s="21"/>
      <c r="L17" s="2">
        <v>1</v>
      </c>
      <c r="M17" s="8">
        <f t="shared" si="0"/>
        <v>2</v>
      </c>
      <c r="P17" s="5"/>
    </row>
    <row r="18" spans="1:16" x14ac:dyDescent="0.45">
      <c r="A18" s="1"/>
      <c r="B18" s="7"/>
      <c r="L18" s="2">
        <v>0</v>
      </c>
      <c r="M18" s="8">
        <f>2^(L18)</f>
        <v>1</v>
      </c>
      <c r="O18" s="1"/>
      <c r="P18" s="5"/>
    </row>
    <row r="19" spans="1:16" ht="17.5" customHeight="1" x14ac:dyDescent="0.45">
      <c r="A19" s="9" t="s">
        <v>3</v>
      </c>
      <c r="B19" s="79" t="str" cm="1">
        <f t="array" ref="B19">CutBinaryIgnoreSpaces(B7, 3, 1, 10)</f>
        <v>1011111101</v>
      </c>
      <c r="C19" s="79"/>
      <c r="D19" s="79" t="str" cm="1">
        <f t="array" ref="D19">CutBinaryIgnoreSpaces(D7, 3, 1, 10)</f>
        <v>0000000001</v>
      </c>
      <c r="E19" s="79"/>
      <c r="F19" s="79" t="str" cm="1">
        <f t="array" ref="F19">CutBinaryIgnoreSpaces(F7, 3, 1, 10)</f>
        <v>0001111111</v>
      </c>
      <c r="G19" s="79"/>
      <c r="H19" s="11"/>
      <c r="I19" s="79" t="str" cm="1">
        <f t="array" ref="I19">CutBinaryIgnoreSpaces(I7, 3, 1, 10)</f>
        <v>0001111110</v>
      </c>
      <c r="J19" s="80"/>
      <c r="L19" s="2">
        <v>-1</v>
      </c>
      <c r="M19" s="8">
        <f t="shared" ref="M19:M41" si="10">2^(L19)</f>
        <v>0.5</v>
      </c>
      <c r="P19" s="5"/>
    </row>
    <row r="20" spans="1:16" ht="17.5" customHeight="1" x14ac:dyDescent="0.45">
      <c r="A20" s="13"/>
      <c r="B20" s="81" t="str" cm="1">
        <f t="array" ref="B20">InsertSpaceEvery4Chars(B19)</f>
        <v>10 1111 1101</v>
      </c>
      <c r="C20" s="81"/>
      <c r="D20" s="81" t="str" cm="1">
        <f t="array" ref="D20">InsertSpaceEvery4Chars(D19)</f>
        <v>00 0000 0001</v>
      </c>
      <c r="E20" s="81"/>
      <c r="F20" s="81" t="str" cm="1">
        <f t="array" ref="F20">InsertSpaceEvery4Chars(F19)</f>
        <v>00 0111 1111</v>
      </c>
      <c r="G20" s="81"/>
      <c r="I20" s="81" t="str" cm="1">
        <f t="array" ref="I20">InsertSpaceEvery4Chars(I19)</f>
        <v>00 0111 1110</v>
      </c>
      <c r="J20" s="82"/>
      <c r="L20" s="2">
        <v>-2</v>
      </c>
      <c r="M20" s="8">
        <f t="shared" si="10"/>
        <v>0.25</v>
      </c>
      <c r="P20" s="5"/>
    </row>
    <row r="21" spans="1:16" ht="17.5" customHeight="1" x14ac:dyDescent="0.45">
      <c r="A21" s="15" t="s">
        <v>21</v>
      </c>
      <c r="B21" s="83" t="str" cm="1">
        <f t="array" ref="B21">BinPartsToHex(B19)</f>
        <v>2FD</v>
      </c>
      <c r="C21" s="83"/>
      <c r="D21" s="83" t="str" cm="1">
        <f t="array" ref="D21">BinPartsToHex(D19)</f>
        <v>1</v>
      </c>
      <c r="E21" s="83"/>
      <c r="F21" s="83" t="str" cm="1">
        <f t="array" ref="F21">BinPartsToHex(F19)</f>
        <v>7F</v>
      </c>
      <c r="G21" s="83"/>
      <c r="H21" s="17"/>
      <c r="I21" s="83" t="str" cm="1">
        <f t="array" ref="I21">BinPartsToHex(I19)</f>
        <v>7E</v>
      </c>
      <c r="J21" s="84"/>
      <c r="L21" s="2">
        <v>-3</v>
      </c>
      <c r="M21" s="8">
        <f t="shared" si="10"/>
        <v>0.125</v>
      </c>
      <c r="P21" s="5"/>
    </row>
    <row r="22" spans="1:16" ht="17.5" customHeight="1" x14ac:dyDescent="0.45">
      <c r="A22" s="1"/>
      <c r="B22" s="1"/>
      <c r="C22" s="1"/>
      <c r="D22" s="1"/>
      <c r="E22" s="1"/>
      <c r="F22" s="1"/>
      <c r="G22" s="1"/>
      <c r="I22" s="1"/>
      <c r="J22" s="1"/>
      <c r="L22" s="2">
        <v>-4</v>
      </c>
      <c r="M22" s="8">
        <f t="shared" si="10"/>
        <v>6.25E-2</v>
      </c>
      <c r="P22" s="5"/>
    </row>
    <row r="23" spans="1:16" ht="17.5" customHeight="1" x14ac:dyDescent="0.45">
      <c r="A23" s="9" t="s">
        <v>10</v>
      </c>
      <c r="B23" s="79" t="str" cm="1">
        <f t="array" ref="B23">IF(B10&lt;&gt;0, AddOneToLeftOfBinary(B19), "0"&amp;B19)</f>
        <v>11011111101</v>
      </c>
      <c r="C23" s="79"/>
      <c r="D23" s="79" t="str" cm="1">
        <f t="array" ref="D23">IF(D10&lt;&gt;0, AddOneToLeftOfBinary(D19), "0"&amp;D19)</f>
        <v>10000000001</v>
      </c>
      <c r="E23" s="79"/>
      <c r="F23" s="79" t="str" cm="1">
        <f t="array" ref="F23">IF(F10&lt;&gt;0, AddOneToLeftOfBinary(F19), "0"&amp;F19)</f>
        <v>10001111111</v>
      </c>
      <c r="G23" s="79"/>
      <c r="H23" s="11"/>
      <c r="I23" s="79" t="str" cm="1">
        <f t="array" ref="I23">IF(I10&lt;&gt;0, AddOneToLeftOfBinary(I19), "0"&amp;I19)</f>
        <v>10001111110</v>
      </c>
      <c r="J23" s="80"/>
      <c r="L23" s="2">
        <v>-5</v>
      </c>
      <c r="M23" s="8">
        <f t="shared" si="10"/>
        <v>3.125E-2</v>
      </c>
    </row>
    <row r="24" spans="1:16" ht="17.5" customHeight="1" x14ac:dyDescent="0.45">
      <c r="A24" s="13"/>
      <c r="B24" s="81" t="str" cm="1">
        <f t="array" ref="B24">InsertSpaceEvery4Chars(B23)</f>
        <v>110 1111 1101</v>
      </c>
      <c r="C24" s="81"/>
      <c r="D24" s="81" t="str" cm="1">
        <f t="array" ref="D24">InsertSpaceEvery4Chars(D23)</f>
        <v>100 0000 0001</v>
      </c>
      <c r="E24" s="81"/>
      <c r="F24" s="81" t="str" cm="1">
        <f t="array" ref="F24">InsertSpaceEvery4Chars(F23)</f>
        <v>100 0111 1111</v>
      </c>
      <c r="G24" s="81"/>
      <c r="I24" s="81" t="str" cm="1">
        <f t="array" ref="I24">InsertSpaceEvery4Chars(I23)</f>
        <v>100 0111 1110</v>
      </c>
      <c r="J24" s="82"/>
      <c r="L24" s="2">
        <v>-6</v>
      </c>
      <c r="M24" s="8">
        <f t="shared" si="10"/>
        <v>1.5625E-2</v>
      </c>
      <c r="O24" s="1"/>
    </row>
    <row r="25" spans="1:16" ht="17.5" customHeight="1" x14ac:dyDescent="0.45">
      <c r="A25" s="15" t="s">
        <v>21</v>
      </c>
      <c r="B25" s="83" t="str" cm="1">
        <f t="array" ref="B25">BinPartsToHex(B23)</f>
        <v>6FD</v>
      </c>
      <c r="C25" s="83"/>
      <c r="D25" s="83" t="str" cm="1">
        <f t="array" ref="D25">BinPartsToHex(D23)</f>
        <v>401</v>
      </c>
      <c r="E25" s="83"/>
      <c r="F25" s="83" t="str" cm="1">
        <f t="array" ref="F25">BinPartsToHex(F23)</f>
        <v>47F</v>
      </c>
      <c r="G25" s="83"/>
      <c r="H25" s="17"/>
      <c r="I25" s="83" t="str" cm="1">
        <f t="array" ref="I25">BinPartsToHex(I23)</f>
        <v>47E</v>
      </c>
      <c r="J25" s="84"/>
      <c r="L25" s="2">
        <v>-7</v>
      </c>
      <c r="M25" s="8">
        <f t="shared" si="10"/>
        <v>7.8125E-3</v>
      </c>
    </row>
    <row r="26" spans="1:16" x14ac:dyDescent="0.45">
      <c r="A26" s="1"/>
      <c r="I26" s="1"/>
      <c r="L26" s="2">
        <v>-8</v>
      </c>
      <c r="M26" s="8">
        <f t="shared" si="10"/>
        <v>3.90625E-3</v>
      </c>
      <c r="P26" s="5"/>
    </row>
    <row r="27" spans="1:16" ht="17.5" customHeight="1" x14ac:dyDescent="0.45">
      <c r="A27" s="9" t="s">
        <v>11</v>
      </c>
      <c r="B27" s="79" t="str" cm="1">
        <f t="array" ref="B27">AddThreeBitsToRight(B23)</f>
        <v>11011111101000</v>
      </c>
      <c r="C27" s="79"/>
      <c r="D27" s="79" t="str" cm="1">
        <f t="array" ref="D27">AddThreeBitsToRight(D23)</f>
        <v>10000000001000</v>
      </c>
      <c r="E27" s="79"/>
      <c r="F27" s="79" t="str" cm="1">
        <f t="array" ref="F27">AddThreeBitsToRight(F23)</f>
        <v>10001111111000</v>
      </c>
      <c r="G27" s="79"/>
      <c r="H27" s="11"/>
      <c r="I27" s="11"/>
      <c r="J27" s="19"/>
      <c r="L27" s="2">
        <v>-9</v>
      </c>
      <c r="M27" s="8">
        <f t="shared" si="10"/>
        <v>1.953125E-3</v>
      </c>
      <c r="P27" s="5"/>
    </row>
    <row r="28" spans="1:16" ht="17.5" customHeight="1" x14ac:dyDescent="0.45">
      <c r="A28" s="13"/>
      <c r="B28" s="81" t="str" cm="1">
        <f t="array" ref="B28">InsertSpaceEvery4Chars(B27)</f>
        <v>11 0111 1110 1000</v>
      </c>
      <c r="C28" s="81"/>
      <c r="D28" s="81" t="str" cm="1">
        <f t="array" ref="D28">InsertSpaceEvery4Chars(D27)</f>
        <v>10 0000 0000 1000</v>
      </c>
      <c r="E28" s="81"/>
      <c r="F28" s="81" t="str" cm="1">
        <f t="array" ref="F28">InsertSpaceEvery4Chars(F27)</f>
        <v>10 0011 1111 1000</v>
      </c>
      <c r="G28" s="81"/>
      <c r="J28" s="20"/>
      <c r="L28" s="2">
        <v>-10</v>
      </c>
      <c r="M28" s="8">
        <f t="shared" si="10"/>
        <v>9.765625E-4</v>
      </c>
    </row>
    <row r="29" spans="1:16" ht="17.5" customHeight="1" x14ac:dyDescent="0.45">
      <c r="A29" s="15" t="s">
        <v>21</v>
      </c>
      <c r="B29" s="83" t="str" cm="1">
        <f t="array" ref="B29">BinPartsToHex(B28)</f>
        <v>37E8</v>
      </c>
      <c r="C29" s="83"/>
      <c r="D29" s="83" t="str" cm="1">
        <f t="array" ref="D29">BinPartsToHex(D28)</f>
        <v>2008</v>
      </c>
      <c r="E29" s="83"/>
      <c r="F29" s="83" t="str" cm="1">
        <f t="array" ref="F29">BinPartsToHex(F28)</f>
        <v>23F8</v>
      </c>
      <c r="G29" s="83"/>
      <c r="H29" s="17"/>
      <c r="I29" s="17"/>
      <c r="J29" s="21"/>
      <c r="L29" s="2">
        <v>-11</v>
      </c>
      <c r="M29" s="8">
        <f t="shared" si="10"/>
        <v>4.8828125E-4</v>
      </c>
    </row>
    <row r="30" spans="1:16" x14ac:dyDescent="0.45">
      <c r="A30" s="1"/>
      <c r="C30" s="1"/>
      <c r="D30" s="1"/>
      <c r="E30" s="1"/>
      <c r="F30" s="1"/>
      <c r="G30" s="1"/>
      <c r="L30" s="2">
        <v>-12</v>
      </c>
      <c r="M30" s="8">
        <f t="shared" si="10"/>
        <v>2.44140625E-4</v>
      </c>
    </row>
    <row r="31" spans="1:16" ht="17.5" customHeight="1" x14ac:dyDescent="0.45">
      <c r="A31" s="9" t="s">
        <v>14</v>
      </c>
      <c r="B31" s="79" t="str" cm="1">
        <f t="array" ref="B31">RightShiftBinaryString(B27, B16)</f>
        <v>11011111101000</v>
      </c>
      <c r="C31" s="79"/>
      <c r="D31" s="79" t="str" cm="1">
        <f t="array" ref="D31">RightShiftBinaryString(D27, D16)</f>
        <v>01000000000100</v>
      </c>
      <c r="E31" s="79"/>
      <c r="F31" s="10"/>
      <c r="G31" s="10"/>
      <c r="H31" s="11"/>
      <c r="I31" s="22"/>
      <c r="J31" s="23"/>
      <c r="L31" s="2">
        <v>-13</v>
      </c>
      <c r="M31" s="8">
        <f t="shared" si="10"/>
        <v>1.220703125E-4</v>
      </c>
    </row>
    <row r="32" spans="1:16" x14ac:dyDescent="0.45">
      <c r="A32" s="24" t="s">
        <v>27</v>
      </c>
      <c r="B32" s="81" t="str" cm="1">
        <f t="array" ref="B32">InsertSpaceEvery4Chars(B31)</f>
        <v>11 0111 1110 1000</v>
      </c>
      <c r="C32" s="81"/>
      <c r="D32" s="81" t="str" cm="1">
        <f t="array" ref="D32">InsertSpaceEvery4Chars(D31)</f>
        <v>01 0000 0000 0100</v>
      </c>
      <c r="E32" s="81"/>
      <c r="F32" s="1"/>
      <c r="G32" s="1"/>
      <c r="J32" s="20"/>
      <c r="L32" s="2">
        <v>-14</v>
      </c>
      <c r="M32" s="8">
        <f t="shared" si="10"/>
        <v>6.103515625E-5</v>
      </c>
    </row>
    <row r="33" spans="1:13" x14ac:dyDescent="0.45">
      <c r="A33" s="15" t="s">
        <v>21</v>
      </c>
      <c r="B33" s="83" t="str" cm="1">
        <f t="array" ref="B33">BinPartsToHex(B31)</f>
        <v>37E8</v>
      </c>
      <c r="C33" s="83"/>
      <c r="D33" s="83" t="str" cm="1">
        <f t="array" ref="D33">BinPartsToHex(D31)</f>
        <v>1004</v>
      </c>
      <c r="E33" s="83"/>
      <c r="F33" s="16"/>
      <c r="G33" s="16"/>
      <c r="H33" s="17"/>
      <c r="I33" s="17"/>
      <c r="J33" s="21"/>
      <c r="L33" s="2">
        <v>-15</v>
      </c>
      <c r="M33" s="8">
        <f t="shared" si="10"/>
        <v>3.0517578125E-5</v>
      </c>
    </row>
    <row r="34" spans="1:13" ht="17.5" customHeight="1" x14ac:dyDescent="0.45">
      <c r="A34" s="1"/>
      <c r="B34" s="96"/>
      <c r="C34" s="96"/>
      <c r="L34" s="2">
        <v>-16</v>
      </c>
      <c r="M34" s="8">
        <f t="shared" si="10"/>
        <v>1.52587890625E-5</v>
      </c>
    </row>
    <row r="35" spans="1:13" ht="17.5" customHeight="1" x14ac:dyDescent="0.45">
      <c r="A35" s="9" t="s">
        <v>15</v>
      </c>
      <c r="B35" s="79" t="str" cm="1">
        <f t="array" ref="B35">TwosComplement(B31)</f>
        <v>00100000011000</v>
      </c>
      <c r="C35" s="79"/>
      <c r="D35" s="79" t="str" cm="1">
        <f t="array" ref="D35">TwosComplement(D31)</f>
        <v>10111111111100</v>
      </c>
      <c r="E35" s="80"/>
      <c r="H35" s="1"/>
      <c r="J35" s="3"/>
      <c r="L35" s="2">
        <v>-17</v>
      </c>
      <c r="M35" s="8">
        <f t="shared" si="10"/>
        <v>7.62939453125E-6</v>
      </c>
    </row>
    <row r="36" spans="1:13" ht="17.5" customHeight="1" x14ac:dyDescent="0.45">
      <c r="A36" s="13"/>
      <c r="B36" s="81" t="str" cm="1">
        <f t="array" ref="B36">InsertSpaceEvery4Chars(B35)</f>
        <v>00 1000 0001 1000</v>
      </c>
      <c r="C36" s="81"/>
      <c r="D36" s="81" t="str" cm="1">
        <f t="array" ref="D36">InsertSpaceEvery4Chars(D35)</f>
        <v>10 1111 1111 1100</v>
      </c>
      <c r="E36" s="82"/>
      <c r="H36" s="1"/>
      <c r="J36" s="1"/>
      <c r="L36" s="2">
        <v>-18</v>
      </c>
      <c r="M36" s="8">
        <f t="shared" si="10"/>
        <v>3.814697265625E-6</v>
      </c>
    </row>
    <row r="37" spans="1:13" x14ac:dyDescent="0.45">
      <c r="A37" s="15" t="s">
        <v>21</v>
      </c>
      <c r="B37" s="17"/>
      <c r="C37" s="16" t="str" cm="1">
        <f t="array" ref="C37">BinPartsToHex(B36)</f>
        <v>818</v>
      </c>
      <c r="D37" s="16"/>
      <c r="E37" s="18" t="str" cm="1">
        <f t="array" ref="E37">BinPartsToHex(D36)</f>
        <v>2FFC</v>
      </c>
      <c r="F37" s="1"/>
      <c r="G37" s="1" t="str" cm="1">
        <f t="array" ref="G37">BinPartsToHex(F36)</f>
        <v/>
      </c>
      <c r="J37" s="1"/>
      <c r="L37" s="2">
        <v>-19</v>
      </c>
      <c r="M37" s="8">
        <f t="shared" si="10"/>
        <v>1.9073486328125E-6</v>
      </c>
    </row>
    <row r="38" spans="1:13" x14ac:dyDescent="0.45">
      <c r="A38" s="1"/>
      <c r="L38" s="2">
        <v>-20</v>
      </c>
      <c r="M38" s="8">
        <f t="shared" si="10"/>
        <v>9.5367431640625E-7</v>
      </c>
    </row>
    <row r="39" spans="1:13" ht="17.5" customHeight="1" x14ac:dyDescent="0.45">
      <c r="A39" s="9" t="s">
        <v>13</v>
      </c>
      <c r="B39" s="79" t="str" cm="1">
        <f t="array" ref="B39">BinaryAdder(B31, D35)</f>
        <v>110011111100100</v>
      </c>
      <c r="C39" s="79"/>
      <c r="D39" s="10"/>
      <c r="E39" s="19"/>
      <c r="L39" s="2">
        <v>-21</v>
      </c>
      <c r="M39" s="8">
        <f t="shared" si="10"/>
        <v>4.76837158203125E-7</v>
      </c>
    </row>
    <row r="40" spans="1:13" x14ac:dyDescent="0.45">
      <c r="A40" s="13"/>
      <c r="C40" s="1" t="str" cm="1">
        <f t="array" ref="C40">InsertSpaceEvery4Chars(B39)</f>
        <v>110 0111 1110 0100</v>
      </c>
      <c r="D40" s="1"/>
      <c r="E40" s="20"/>
      <c r="L40" s="2">
        <v>-22</v>
      </c>
      <c r="M40" s="8">
        <f t="shared" si="10"/>
        <v>2.384185791015625E-7</v>
      </c>
    </row>
    <row r="41" spans="1:13" x14ac:dyDescent="0.45">
      <c r="A41" s="15" t="s">
        <v>21</v>
      </c>
      <c r="B41" s="17"/>
      <c r="C41" s="16" t="str" cm="1">
        <f t="array" ref="C41">BinPartsToHex(C40)</f>
        <v>67E4</v>
      </c>
      <c r="D41" s="16"/>
      <c r="E41" s="21"/>
      <c r="L41" s="2">
        <v>-23</v>
      </c>
      <c r="M41" s="8">
        <f t="shared" si="10"/>
        <v>1.1920928955078125E-7</v>
      </c>
    </row>
    <row r="42" spans="1:13" x14ac:dyDescent="0.45">
      <c r="A42" s="1"/>
      <c r="C42" s="1"/>
      <c r="D42" s="1"/>
    </row>
    <row r="43" spans="1:13" x14ac:dyDescent="0.45">
      <c r="A43" s="28" t="s">
        <v>47</v>
      </c>
      <c r="B43" s="29"/>
      <c r="C43" s="30" cm="1">
        <f t="array" ref="C43">FindFirstOnePosition(B39)-1</f>
        <v>0</v>
      </c>
      <c r="D43" s="1"/>
    </row>
    <row r="44" spans="1:13" x14ac:dyDescent="0.45">
      <c r="A44" s="1"/>
      <c r="C44" s="1"/>
      <c r="D44" s="1"/>
    </row>
    <row r="45" spans="1:13" ht="17.5" customHeight="1" x14ac:dyDescent="0.45">
      <c r="A45" s="9" t="s">
        <v>16</v>
      </c>
      <c r="B45" s="79" t="str" cm="1">
        <f t="array" ref="B45">RightShiftBinaryString(B39, C43)</f>
        <v>110011111100100</v>
      </c>
      <c r="C45" s="79"/>
      <c r="D45" s="95" t="s">
        <v>29</v>
      </c>
      <c r="E45" s="90"/>
    </row>
    <row r="46" spans="1:13" ht="17.5" customHeight="1" x14ac:dyDescent="0.45">
      <c r="A46" s="13"/>
      <c r="B46" s="81" t="str" cm="1">
        <f t="array" ref="B46">InsertSpaceEvery4Chars(B45)</f>
        <v>110 0111 1110 0100</v>
      </c>
      <c r="C46" s="81"/>
      <c r="D46" s="81" t="str" cm="1">
        <f t="array" ref="D46">InsertSpaceEvery4Chars(D45)</f>
        <v>10 1111 0101 1100</v>
      </c>
      <c r="E46" s="82"/>
    </row>
    <row r="47" spans="1:13" x14ac:dyDescent="0.45">
      <c r="A47" s="15" t="s">
        <v>21</v>
      </c>
      <c r="B47" s="17"/>
      <c r="C47" s="16" t="str" cm="1">
        <f t="array" ref="C47">BinPartsToHex(B46)</f>
        <v>67E4</v>
      </c>
      <c r="D47" s="16"/>
      <c r="E47" s="18" t="str" cm="1">
        <f t="array" ref="E47">BinPartsToHex(D46)</f>
        <v>2F5C</v>
      </c>
    </row>
    <row r="48" spans="1:13" x14ac:dyDescent="0.45">
      <c r="A48" s="1"/>
    </row>
    <row r="49" spans="1:5" x14ac:dyDescent="0.45">
      <c r="A49" s="9" t="s">
        <v>12</v>
      </c>
      <c r="B49" s="25"/>
      <c r="C49" s="10" t="str">
        <f>MID(RIGHT(B45, 4), 1, 1)</f>
        <v>0</v>
      </c>
      <c r="D49" s="11"/>
      <c r="E49" s="12" t="str">
        <f>MID(RIGHT(D45, 4), 1, 1)</f>
        <v>1</v>
      </c>
    </row>
    <row r="50" spans="1:5" x14ac:dyDescent="0.45">
      <c r="A50" s="13" t="s">
        <v>7</v>
      </c>
      <c r="B50" s="26"/>
      <c r="C50" s="1" t="str">
        <f>MID(RIGHT(B45, 3), 1, 1)</f>
        <v>1</v>
      </c>
      <c r="D50" s="1"/>
      <c r="E50" s="14" t="str">
        <f>MID(RIGHT(D45, 3), 1, 1)</f>
        <v>1</v>
      </c>
    </row>
    <row r="51" spans="1:5" x14ac:dyDescent="0.45">
      <c r="A51" s="13" t="s">
        <v>8</v>
      </c>
      <c r="B51" s="26"/>
      <c r="C51" s="1" t="str">
        <f>MID(RIGHT(B45, 2), 1, 1)</f>
        <v>0</v>
      </c>
      <c r="D51" s="1"/>
      <c r="E51" s="14" t="str">
        <f>MID(RIGHT(D45, 2), 1, 1)</f>
        <v>0</v>
      </c>
    </row>
    <row r="52" spans="1:5" x14ac:dyDescent="0.45">
      <c r="A52" s="15" t="s">
        <v>9</v>
      </c>
      <c r="B52" s="27"/>
      <c r="C52" s="16" t="str">
        <f>MID(RIGHT(B45, 1), 1, 1)</f>
        <v>0</v>
      </c>
      <c r="D52" s="16"/>
      <c r="E52" s="18" t="str">
        <f>MID(RIGHT(D45, 1), 1, 1)</f>
        <v>0</v>
      </c>
    </row>
    <row r="53" spans="1:5" x14ac:dyDescent="0.45">
      <c r="A53" s="1"/>
    </row>
    <row r="54" spans="1:5" x14ac:dyDescent="0.45">
      <c r="A54" s="9" t="s">
        <v>22</v>
      </c>
      <c r="B54" s="11"/>
      <c r="C54" s="10" t="str" cm="1">
        <f t="array" ref="C54">AlignBitsBin(B45,C49,C50,C51,C52)</f>
        <v>11001111110</v>
      </c>
      <c r="D54" s="10"/>
      <c r="E54" s="12" t="str" cm="1">
        <f t="array" ref="E54">AlignBitsBin(D45,E49,E50,E51,E52)</f>
        <v>10111101100</v>
      </c>
    </row>
    <row r="55" spans="1:5" x14ac:dyDescent="0.45">
      <c r="A55" s="31"/>
      <c r="C55" s="1" t="str" cm="1">
        <f t="array" ref="C55">InsertSpaceEvery4Chars(C54)</f>
        <v>110 0111 1110</v>
      </c>
      <c r="D55" s="1"/>
      <c r="E55" s="14" t="str" cm="1">
        <f t="array" ref="E55">InsertSpaceEvery4Chars(E54)</f>
        <v>101 1110 1100</v>
      </c>
    </row>
    <row r="56" spans="1:5" x14ac:dyDescent="0.45">
      <c r="A56" s="15" t="s">
        <v>21</v>
      </c>
      <c r="B56" s="17"/>
      <c r="C56" s="16" t="str" cm="1">
        <f t="array" ref="C56">BinPartsToHex(C55)</f>
        <v>67E</v>
      </c>
      <c r="D56" s="16"/>
      <c r="E56" s="18" t="str" cm="1">
        <f t="array" ref="E56">BinPartsToHex(E55)</f>
        <v>5EC</v>
      </c>
    </row>
  </sheetData>
  <mergeCells count="93">
    <mergeCell ref="D45:E45"/>
    <mergeCell ref="D46:E46"/>
    <mergeCell ref="B45:C45"/>
    <mergeCell ref="B46:C46"/>
    <mergeCell ref="B34:C34"/>
    <mergeCell ref="B39:C39"/>
    <mergeCell ref="B36:C36"/>
    <mergeCell ref="B33:C33"/>
    <mergeCell ref="B25:C25"/>
    <mergeCell ref="D36:E36"/>
    <mergeCell ref="B35:C35"/>
    <mergeCell ref="D35:E35"/>
    <mergeCell ref="D33:E33"/>
    <mergeCell ref="B31:C31"/>
    <mergeCell ref="D31:E31"/>
    <mergeCell ref="B32:C32"/>
    <mergeCell ref="D32:E32"/>
    <mergeCell ref="B27:C27"/>
    <mergeCell ref="B28:C28"/>
    <mergeCell ref="B29:C29"/>
    <mergeCell ref="B24:C24"/>
    <mergeCell ref="D19:E19"/>
    <mergeCell ref="F1:G1"/>
    <mergeCell ref="D2:E2"/>
    <mergeCell ref="D5:E5"/>
    <mergeCell ref="B2:C2"/>
    <mergeCell ref="B5:C5"/>
    <mergeCell ref="D4:E4"/>
    <mergeCell ref="F4:G4"/>
    <mergeCell ref="F2:G2"/>
    <mergeCell ref="F5:G5"/>
    <mergeCell ref="B1:C1"/>
    <mergeCell ref="D1:E1"/>
    <mergeCell ref="B3:C3"/>
    <mergeCell ref="D3:E3"/>
    <mergeCell ref="B4:C4"/>
    <mergeCell ref="F3:G3"/>
    <mergeCell ref="B6:C6"/>
    <mergeCell ref="B7:C7"/>
    <mergeCell ref="F6:G6"/>
    <mergeCell ref="F7:G7"/>
    <mergeCell ref="B23:C23"/>
    <mergeCell ref="D7:E7"/>
    <mergeCell ref="D6:E6"/>
    <mergeCell ref="B16:C16"/>
    <mergeCell ref="B20:C20"/>
    <mergeCell ref="D20:E20"/>
    <mergeCell ref="F20:G20"/>
    <mergeCell ref="B21:C21"/>
    <mergeCell ref="D21:E21"/>
    <mergeCell ref="F21:G21"/>
    <mergeCell ref="I1:J1"/>
    <mergeCell ref="I2:J2"/>
    <mergeCell ref="I5:J5"/>
    <mergeCell ref="I6:J6"/>
    <mergeCell ref="I7:J7"/>
    <mergeCell ref="I4:J4"/>
    <mergeCell ref="I3:J3"/>
    <mergeCell ref="I13:J13"/>
    <mergeCell ref="F8:G8"/>
    <mergeCell ref="B8:C8"/>
    <mergeCell ref="B19:C19"/>
    <mergeCell ref="B15:C15"/>
    <mergeCell ref="F27:G27"/>
    <mergeCell ref="F28:G28"/>
    <mergeCell ref="F29:G29"/>
    <mergeCell ref="F13:G13"/>
    <mergeCell ref="D16:E16"/>
    <mergeCell ref="D25:E25"/>
    <mergeCell ref="F25:G25"/>
    <mergeCell ref="F24:G24"/>
    <mergeCell ref="F23:G23"/>
    <mergeCell ref="D23:E23"/>
    <mergeCell ref="D24:E24"/>
    <mergeCell ref="D27:E27"/>
    <mergeCell ref="D28:E28"/>
    <mergeCell ref="D29:E29"/>
    <mergeCell ref="D15:E15"/>
    <mergeCell ref="F15:G15"/>
    <mergeCell ref="F19:G19"/>
    <mergeCell ref="I8:J8"/>
    <mergeCell ref="D8:E8"/>
    <mergeCell ref="B13:C13"/>
    <mergeCell ref="D13:E13"/>
    <mergeCell ref="B17:C17"/>
    <mergeCell ref="D17:E17"/>
    <mergeCell ref="I15:J15"/>
    <mergeCell ref="I19:J19"/>
    <mergeCell ref="I23:J23"/>
    <mergeCell ref="I24:J24"/>
    <mergeCell ref="I25:J25"/>
    <mergeCell ref="I20:J20"/>
    <mergeCell ref="I21:J21"/>
  </mergeCells>
  <phoneticPr fontId="1" type="noConversion"/>
  <conditionalFormatting sqref="B13:G13">
    <cfRule type="cellIs" dxfId="29" priority="11" operator="equal">
      <formula>"NaN"</formula>
    </cfRule>
    <cfRule type="cellIs" dxfId="28" priority="12" operator="equal">
      <formula>"Denormal"</formula>
    </cfRule>
  </conditionalFormatting>
  <conditionalFormatting sqref="B13:G13">
    <cfRule type="cellIs" dxfId="27" priority="10" operator="equal">
      <formula>"Infinite"</formula>
    </cfRule>
  </conditionalFormatting>
  <conditionalFormatting sqref="I13:J13">
    <cfRule type="cellIs" dxfId="26" priority="2" operator="equal">
      <formula>"NaN"</formula>
    </cfRule>
    <cfRule type="cellIs" dxfId="25" priority="3" operator="equal">
      <formula>"Denormal"</formula>
    </cfRule>
  </conditionalFormatting>
  <conditionalFormatting sqref="I13:J13">
    <cfRule type="cellIs" dxfId="24" priority="1" operator="equal">
      <formula>"Infinite"</formula>
    </cfRule>
  </conditionalFormatting>
  <pageMargins left="0.7" right="0.7" top="0.75" bottom="0.75" header="0.3" footer="0.3"/>
  <pageSetup paperSize="9" orientation="portrait" r:id="rId1"/>
  <ignoredErrors>
    <ignoredError sqref="D45" numberStoredAsText="1"/>
    <ignoredError sqref="C9:C11 E9:E11 D9:D11 F9:F11" formula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EAB65-8514-4E2F-9129-51131049842E}">
  <sheetPr codeName="Sheet3"/>
  <dimension ref="A1:AA56"/>
  <sheetViews>
    <sheetView showGridLines="0" zoomScaleNormal="100" workbookViewId="0">
      <selection activeCell="B3" sqref="B3:C3"/>
    </sheetView>
  </sheetViews>
  <sheetFormatPr defaultRowHeight="15.5" x14ac:dyDescent="0.45"/>
  <cols>
    <col min="1" max="1" width="36.61328125" style="2" customWidth="1"/>
    <col min="2" max="8" width="12.07421875" style="2" customWidth="1"/>
    <col min="9" max="10" width="12.15234375" style="2" customWidth="1"/>
    <col min="11" max="11" width="8.3046875" style="2" customWidth="1"/>
    <col min="12" max="12" width="17.53515625" style="2" customWidth="1"/>
    <col min="13" max="14" width="8.3046875" style="2" customWidth="1"/>
    <col min="15" max="15" width="4.3828125" style="2" customWidth="1"/>
    <col min="16" max="16" width="11" style="2" customWidth="1"/>
    <col min="17" max="17" width="3.15234375" style="2" customWidth="1"/>
    <col min="18" max="18" width="4.921875" style="2" customWidth="1"/>
    <col min="19" max="19" width="3.53515625" style="2" customWidth="1"/>
    <col min="20" max="23" width="17.3046875" style="2" customWidth="1"/>
    <col min="24" max="24" width="19" style="3" customWidth="1"/>
    <col min="25" max="25" width="2.921875" style="3" customWidth="1"/>
    <col min="26" max="26" width="2.921875" style="1" customWidth="1"/>
    <col min="27" max="48" width="2.921875" style="2" customWidth="1"/>
    <col min="49" max="16384" width="9.23046875" style="2"/>
  </cols>
  <sheetData>
    <row r="1" spans="1:27" ht="17.5" customHeight="1" x14ac:dyDescent="0.45">
      <c r="B1" s="93" t="s">
        <v>4</v>
      </c>
      <c r="C1" s="93"/>
      <c r="D1" s="94" t="s">
        <v>5</v>
      </c>
      <c r="E1" s="94"/>
      <c r="F1" s="88" t="s">
        <v>6</v>
      </c>
      <c r="G1" s="88"/>
      <c r="I1" s="88" t="s">
        <v>18</v>
      </c>
      <c r="J1" s="88"/>
      <c r="K1" s="1"/>
      <c r="L1" s="26" t="s">
        <v>81</v>
      </c>
      <c r="M1" s="1"/>
      <c r="N1" s="1"/>
      <c r="O1" s="66" t="s">
        <v>70</v>
      </c>
      <c r="P1" s="66" t="s">
        <v>71</v>
      </c>
      <c r="Q1" s="66"/>
      <c r="R1" s="66" t="s">
        <v>72</v>
      </c>
      <c r="S1" s="66"/>
      <c r="T1" s="66" t="s">
        <v>73</v>
      </c>
      <c r="U1" s="66" t="s">
        <v>74</v>
      </c>
      <c r="V1" s="66" t="s">
        <v>75</v>
      </c>
    </row>
    <row r="2" spans="1:27" ht="17.5" customHeight="1" x14ac:dyDescent="0.45">
      <c r="A2" s="32" t="s">
        <v>0</v>
      </c>
      <c r="B2" s="89" t="s">
        <v>89</v>
      </c>
      <c r="C2" s="90"/>
      <c r="D2" s="89" t="s">
        <v>82</v>
      </c>
      <c r="E2" s="90"/>
      <c r="F2" s="89" t="s">
        <v>83</v>
      </c>
      <c r="G2" s="90"/>
      <c r="I2" s="89" t="s">
        <v>84</v>
      </c>
      <c r="J2" s="90"/>
      <c r="O2" s="1">
        <v>31</v>
      </c>
      <c r="P2" s="77">
        <v>16</v>
      </c>
      <c r="Q2" s="8"/>
      <c r="R2" s="77">
        <v>0</v>
      </c>
      <c r="S2" s="8"/>
      <c r="T2" s="8">
        <v>131008</v>
      </c>
      <c r="U2" s="8">
        <v>65536</v>
      </c>
      <c r="V2" s="8">
        <v>64</v>
      </c>
      <c r="W2" s="8"/>
    </row>
    <row r="3" spans="1:27" ht="17.5" customHeight="1" x14ac:dyDescent="0.45">
      <c r="A3" s="33" t="s">
        <v>19</v>
      </c>
      <c r="B3" s="91" cm="1">
        <f t="array" ref="B3">FP16HexToDecimal(B2)</f>
        <v>30720</v>
      </c>
      <c r="C3" s="92"/>
      <c r="D3" s="91" cm="1">
        <f t="array" ref="D3">FP16HexToDecimal(D2)</f>
        <v>-4092</v>
      </c>
      <c r="E3" s="92"/>
      <c r="F3" s="91" cm="1">
        <f t="array" ref="F3">FP16HexToDecimal(F2)</f>
        <v>28704</v>
      </c>
      <c r="G3" s="92"/>
      <c r="H3" s="1"/>
      <c r="I3" s="91" cm="1">
        <f t="array" ref="I3">FP16HexToDecimal(I2)</f>
        <v>28736</v>
      </c>
      <c r="J3" s="92"/>
      <c r="L3" s="8">
        <f>F3-I3</f>
        <v>-32</v>
      </c>
      <c r="O3" s="2">
        <v>30</v>
      </c>
      <c r="P3" s="77">
        <v>15</v>
      </c>
      <c r="Q3" s="8"/>
      <c r="R3" s="77">
        <v>0</v>
      </c>
      <c r="S3" s="8"/>
      <c r="T3" s="8">
        <v>65504</v>
      </c>
      <c r="U3" s="8">
        <v>32768</v>
      </c>
      <c r="V3" s="8">
        <v>32</v>
      </c>
      <c r="W3" s="8"/>
    </row>
    <row r="4" spans="1:27" ht="17.5" customHeight="1" x14ac:dyDescent="0.45">
      <c r="A4" s="33" t="s">
        <v>28</v>
      </c>
      <c r="B4" s="91">
        <f>2^(B15-10)</f>
        <v>16</v>
      </c>
      <c r="C4" s="92"/>
      <c r="D4" s="91">
        <f>2^(D15-10)</f>
        <v>2</v>
      </c>
      <c r="E4" s="92"/>
      <c r="F4" s="91">
        <f>2^(F15-10)</f>
        <v>16</v>
      </c>
      <c r="G4" s="92"/>
      <c r="H4" s="1"/>
      <c r="I4" s="91">
        <f>2^(I15-10)</f>
        <v>16</v>
      </c>
      <c r="J4" s="92"/>
      <c r="O4" s="2">
        <v>29</v>
      </c>
      <c r="P4" s="77">
        <v>14</v>
      </c>
      <c r="Q4" s="8"/>
      <c r="R4" s="77">
        <v>0</v>
      </c>
      <c r="S4" s="8"/>
      <c r="T4" s="8">
        <v>32752</v>
      </c>
      <c r="U4" s="8">
        <v>16384</v>
      </c>
      <c r="V4" s="8">
        <v>16</v>
      </c>
      <c r="W4" s="8"/>
    </row>
    <row r="5" spans="1:27" ht="17.5" customHeight="1" x14ac:dyDescent="0.45">
      <c r="A5" s="33" t="s">
        <v>1</v>
      </c>
      <c r="B5" s="85" t="str" cm="1">
        <f t="array" ref="B5">(MY_HEX2BIN(B2))</f>
        <v>0111011110000000</v>
      </c>
      <c r="C5" s="82"/>
      <c r="D5" s="85" t="str" cm="1">
        <f t="array" ref="D5">(MY_HEX2BIN(D2))</f>
        <v>1110101111111110</v>
      </c>
      <c r="E5" s="82"/>
      <c r="F5" s="85" t="str" cm="1">
        <f t="array" ref="F5">(MY_HEX2BIN(F2))</f>
        <v>0111011100000010</v>
      </c>
      <c r="G5" s="82"/>
      <c r="I5" s="85" t="str" cm="1">
        <f t="array" ref="I5">(MY_HEX2BIN(I2))</f>
        <v>0111011100000100</v>
      </c>
      <c r="J5" s="82"/>
      <c r="O5" s="2">
        <v>28</v>
      </c>
      <c r="P5" s="77">
        <v>13</v>
      </c>
      <c r="Q5" s="8"/>
      <c r="R5" s="77">
        <v>0</v>
      </c>
      <c r="S5" s="8"/>
      <c r="T5" s="8">
        <v>16376</v>
      </c>
      <c r="U5" s="8">
        <v>8192</v>
      </c>
      <c r="V5" s="8">
        <v>8</v>
      </c>
      <c r="W5" s="8"/>
      <c r="Y5" s="5"/>
    </row>
    <row r="6" spans="1:27" ht="17.5" customHeight="1" x14ac:dyDescent="0.45">
      <c r="A6" s="33"/>
      <c r="B6" s="85" t="str" cm="1">
        <f t="array" ref="B6">InsertSpaceEvery4Chars(B5)</f>
        <v>0111 0111 1000 0000</v>
      </c>
      <c r="C6" s="82"/>
      <c r="D6" s="85" t="str" cm="1">
        <f t="array" ref="D6">InsertSpaceEvery4Chars(D5)</f>
        <v>1110 1011 1111 1110</v>
      </c>
      <c r="E6" s="82"/>
      <c r="F6" s="85" t="str" cm="1">
        <f t="array" ref="F6">InsertSpaceEvery4Chars(F5)</f>
        <v>0111 0111 0000 0010</v>
      </c>
      <c r="G6" s="82"/>
      <c r="I6" s="85" t="str" cm="1">
        <f t="array" ref="I6">InsertSpaceEvery4Chars(I5)</f>
        <v>0111 0111 0000 0100</v>
      </c>
      <c r="J6" s="82"/>
      <c r="O6" s="2">
        <v>27</v>
      </c>
      <c r="P6" s="77">
        <v>12</v>
      </c>
      <c r="Q6" s="8"/>
      <c r="R6" s="77">
        <v>0</v>
      </c>
      <c r="S6" s="8"/>
      <c r="T6" s="8">
        <v>8188</v>
      </c>
      <c r="U6" s="8">
        <v>4096</v>
      </c>
      <c r="V6" s="8">
        <v>4</v>
      </c>
      <c r="W6" s="8"/>
      <c r="Y6" s="5"/>
      <c r="Z6" s="6"/>
      <c r="AA6" s="4"/>
    </row>
    <row r="7" spans="1:27" ht="17.5" customHeight="1" x14ac:dyDescent="0.45">
      <c r="A7" s="33" t="s">
        <v>2</v>
      </c>
      <c r="B7" s="85" t="str" cm="1">
        <f t="array" ref="B7">SplitBinary(B5, 1, 6)</f>
        <v>0 | 1 1101 | 11 1000 0000</v>
      </c>
      <c r="C7" s="82"/>
      <c r="D7" s="85" t="str" cm="1">
        <f t="array" ref="D7">SplitBinary(D5, 1, 6)</f>
        <v>1 | 1 1010 | 11 1111 1110</v>
      </c>
      <c r="E7" s="82"/>
      <c r="F7" s="85" t="str" cm="1">
        <f t="array" ref="F7">SplitBinary(F5, 1, 6)</f>
        <v>0 | 1 1101 | 11 0000 0010</v>
      </c>
      <c r="G7" s="82"/>
      <c r="I7" s="85" t="str" cm="1">
        <f t="array" ref="I7">SplitBinary(I5, 1, 6)</f>
        <v>0 | 1 1101 | 11 0000 0100</v>
      </c>
      <c r="J7" s="82"/>
      <c r="O7" s="2">
        <v>26</v>
      </c>
      <c r="P7" s="77">
        <v>11</v>
      </c>
      <c r="Q7" s="8"/>
      <c r="R7" s="77">
        <v>0</v>
      </c>
      <c r="S7" s="8"/>
      <c r="T7" s="8">
        <v>4094</v>
      </c>
      <c r="U7" s="8">
        <v>2048</v>
      </c>
      <c r="V7" s="8">
        <v>2</v>
      </c>
      <c r="W7" s="8"/>
      <c r="X7" s="1"/>
      <c r="Y7" s="6"/>
    </row>
    <row r="8" spans="1:27" ht="17.5" customHeight="1" x14ac:dyDescent="0.45">
      <c r="A8" s="33"/>
      <c r="B8" s="85" t="str" cm="1">
        <f t="array" ref="B8">BinPartsToHex(B7)</f>
        <v>0 | 1D | 380</v>
      </c>
      <c r="C8" s="82"/>
      <c r="D8" s="85" t="str" cm="1">
        <f t="array" ref="D8">BinPartsToHex(D7)</f>
        <v>1 | 1A | 3FE</v>
      </c>
      <c r="E8" s="82"/>
      <c r="F8" s="85" t="str" cm="1">
        <f t="array" ref="F8">BinPartsToHex(F7)</f>
        <v>0 | 1D | 302</v>
      </c>
      <c r="G8" s="82"/>
      <c r="I8" s="85" t="str" cm="1">
        <f t="array" ref="I8">BinPartsToHex(I7)</f>
        <v>0 | 1D | 304</v>
      </c>
      <c r="J8" s="82"/>
      <c r="O8" s="2">
        <v>25</v>
      </c>
      <c r="P8" s="77">
        <v>10</v>
      </c>
      <c r="Q8" s="8"/>
      <c r="R8" s="77">
        <v>0</v>
      </c>
      <c r="S8" s="8"/>
      <c r="T8" s="8">
        <v>2047</v>
      </c>
      <c r="U8" s="8">
        <v>1024</v>
      </c>
      <c r="V8" s="8">
        <v>1</v>
      </c>
      <c r="W8" s="8"/>
      <c r="Y8" s="5"/>
    </row>
    <row r="9" spans="1:27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1</v>
      </c>
      <c r="E9" s="14" t="str" cm="1">
        <f t="array" ref="E9">GetPipePart(D$8, 1)</f>
        <v>1</v>
      </c>
      <c r="F9" s="13">
        <f>HEX2DEC(G9)</f>
        <v>0</v>
      </c>
      <c r="G9" s="14" t="str" cm="1">
        <f t="array" ref="G9">GetPipePart(F$8, 1)</f>
        <v>0</v>
      </c>
      <c r="I9" s="13">
        <f>HEX2DEC(J9)</f>
        <v>0</v>
      </c>
      <c r="J9" s="14" t="str" cm="1">
        <f t="array" ref="J9">GetPipePart(I$8, 1)</f>
        <v>0</v>
      </c>
      <c r="O9" s="2">
        <v>24</v>
      </c>
      <c r="P9" s="77">
        <v>9</v>
      </c>
      <c r="Q9" s="8"/>
      <c r="R9" s="77">
        <v>0</v>
      </c>
      <c r="S9" s="8"/>
      <c r="T9" s="8">
        <v>1023.5</v>
      </c>
      <c r="U9" s="8">
        <v>512</v>
      </c>
      <c r="V9" s="8">
        <v>0.5</v>
      </c>
      <c r="W9" s="8"/>
      <c r="Y9" s="5"/>
    </row>
    <row r="10" spans="1:27" x14ac:dyDescent="0.45">
      <c r="A10" s="33" t="s">
        <v>24</v>
      </c>
      <c r="B10" s="13">
        <f t="shared" ref="B10:B11" si="0">HEX2DEC(C10)</f>
        <v>29</v>
      </c>
      <c r="C10" s="14" t="str" cm="1">
        <f t="array" ref="C10">GetPipePart(B$8, 2)</f>
        <v>1D</v>
      </c>
      <c r="D10" s="13">
        <f t="shared" ref="D10:D11" si="1">HEX2DEC(E10)</f>
        <v>26</v>
      </c>
      <c r="E10" s="14" t="str" cm="1">
        <f t="array" ref="E10">GetPipePart(D$8, 2)</f>
        <v>1A</v>
      </c>
      <c r="F10" s="13">
        <f t="shared" ref="F10:F11" si="2">HEX2DEC(G10)</f>
        <v>29</v>
      </c>
      <c r="G10" s="14" t="str" cm="1">
        <f t="array" ref="G10">GetPipePart(F$8, 2)</f>
        <v>1D</v>
      </c>
      <c r="I10" s="13">
        <f t="shared" ref="I10:I11" si="3">HEX2DEC(J10)</f>
        <v>29</v>
      </c>
      <c r="J10" s="14" t="str" cm="1">
        <f t="array" ref="J10">GetPipePart(I$8, 2)</f>
        <v>1D</v>
      </c>
      <c r="O10" s="2">
        <v>23</v>
      </c>
      <c r="P10" s="77">
        <v>8</v>
      </c>
      <c r="Q10" s="8"/>
      <c r="R10" s="77">
        <v>0</v>
      </c>
      <c r="S10" s="8"/>
      <c r="T10" s="8">
        <v>511.75</v>
      </c>
      <c r="U10" s="8">
        <v>256</v>
      </c>
      <c r="V10" s="8">
        <v>0.25</v>
      </c>
      <c r="W10" s="8"/>
      <c r="Y10" s="5"/>
    </row>
    <row r="11" spans="1:27" x14ac:dyDescent="0.45">
      <c r="A11" s="33" t="s">
        <v>25</v>
      </c>
      <c r="B11" s="13">
        <f t="shared" si="0"/>
        <v>896</v>
      </c>
      <c r="C11" s="14" t="str" cm="1">
        <f t="array" ref="C11">GetPipePart(B$8, 3)</f>
        <v>380</v>
      </c>
      <c r="D11" s="13">
        <f t="shared" si="1"/>
        <v>1022</v>
      </c>
      <c r="E11" s="14" t="str" cm="1">
        <f t="array" ref="E11">GetPipePart(D$8, 3)</f>
        <v>3FE</v>
      </c>
      <c r="F11" s="13">
        <f t="shared" si="2"/>
        <v>770</v>
      </c>
      <c r="G11" s="14" t="str" cm="1">
        <f t="array" ref="G11">GetPipePart(F$8, 3)</f>
        <v>302</v>
      </c>
      <c r="I11" s="13">
        <f t="shared" si="3"/>
        <v>772</v>
      </c>
      <c r="J11" s="14" t="str" cm="1">
        <f t="array" ref="J11">GetPipePart(I$8, 3)</f>
        <v>304</v>
      </c>
      <c r="O11" s="2">
        <v>22</v>
      </c>
      <c r="P11" s="77">
        <v>7</v>
      </c>
      <c r="Q11" s="8"/>
      <c r="R11" s="77">
        <v>0</v>
      </c>
      <c r="S11" s="8"/>
      <c r="T11" s="8">
        <v>255.875</v>
      </c>
      <c r="U11" s="8">
        <v>128</v>
      </c>
      <c r="V11" s="8">
        <v>0.125</v>
      </c>
      <c r="W11" s="8"/>
      <c r="Z11" s="6"/>
    </row>
    <row r="12" spans="1:27" x14ac:dyDescent="0.45">
      <c r="A12" s="33"/>
      <c r="B12" s="13"/>
      <c r="C12" s="14"/>
      <c r="D12" s="13"/>
      <c r="E12" s="14"/>
      <c r="F12" s="13"/>
      <c r="G12" s="14"/>
      <c r="I12" s="13"/>
      <c r="J12" s="14"/>
      <c r="O12" s="2">
        <v>21</v>
      </c>
      <c r="P12" s="77">
        <v>6</v>
      </c>
      <c r="Q12" s="8"/>
      <c r="R12" s="77">
        <v>0</v>
      </c>
      <c r="S12" s="8"/>
      <c r="T12" s="8">
        <v>127.9375</v>
      </c>
      <c r="U12" s="8">
        <v>64</v>
      </c>
      <c r="V12" s="8">
        <v>6.25E-2</v>
      </c>
      <c r="W12" s="8"/>
      <c r="Y12" s="5"/>
    </row>
    <row r="13" spans="1:27" x14ac:dyDescent="0.45">
      <c r="A13" s="34" t="s">
        <v>20</v>
      </c>
      <c r="B13" s="86" t="str">
        <f>IF(C10="0","Denormal",IF(AND(C11="0", C10="1F"),"Infinite",IF(AND(C11&lt;&gt;"0", C10="1F"),"NaN","Normal")))</f>
        <v>Normal</v>
      </c>
      <c r="C13" s="87"/>
      <c r="D13" s="86" t="str">
        <f t="shared" ref="D13" si="4">IF(E10="0","Denormal",IF(AND(E11="0", E10="1F"),"Infinite",IF(AND(E11&lt;&gt;"0", E10="1F"),"NaN","Normal")))</f>
        <v>Normal</v>
      </c>
      <c r="E13" s="87"/>
      <c r="F13" s="86" t="str">
        <f t="shared" ref="F13:I13" si="5">IF(G10="0","Denormal",IF(AND(G11="0", G10="1F"),"Infinite",IF(AND(G11&lt;&gt;"0", G10="1F"),"NaN","Normal")))</f>
        <v>Normal</v>
      </c>
      <c r="G13" s="87"/>
      <c r="I13" s="86" t="str">
        <f t="shared" si="5"/>
        <v>Normal</v>
      </c>
      <c r="J13" s="87"/>
      <c r="O13" s="2">
        <v>20</v>
      </c>
      <c r="P13" s="77">
        <v>5</v>
      </c>
      <c r="Q13" s="8"/>
      <c r="R13" s="77">
        <v>0</v>
      </c>
      <c r="S13" s="8"/>
      <c r="T13" s="8">
        <v>63.96875</v>
      </c>
      <c r="U13" s="8">
        <v>32</v>
      </c>
      <c r="V13" s="8">
        <v>3.125E-2</v>
      </c>
      <c r="W13" s="8"/>
      <c r="Y13" s="5"/>
    </row>
    <row r="14" spans="1:27" x14ac:dyDescent="0.45">
      <c r="A14" s="1"/>
      <c r="B14" s="1"/>
      <c r="C14" s="1"/>
      <c r="D14" s="1"/>
      <c r="E14" s="1"/>
      <c r="F14" s="1"/>
      <c r="G14" s="1"/>
      <c r="I14" s="1"/>
      <c r="J14" s="1"/>
      <c r="O14" s="2">
        <v>19</v>
      </c>
      <c r="P14" s="77">
        <v>4</v>
      </c>
      <c r="Q14" s="8"/>
      <c r="R14" s="77">
        <v>0</v>
      </c>
      <c r="S14" s="8"/>
      <c r="T14" s="8">
        <v>31.984375</v>
      </c>
      <c r="U14" s="8">
        <v>16</v>
      </c>
      <c r="V14" s="8">
        <v>1.5625E-2</v>
      </c>
      <c r="W14" s="8"/>
      <c r="Y14" s="5"/>
    </row>
    <row r="15" spans="1:27" ht="17.5" customHeight="1" x14ac:dyDescent="0.45">
      <c r="A15" s="9" t="s">
        <v>30</v>
      </c>
      <c r="B15" s="79">
        <f>B10-15</f>
        <v>14</v>
      </c>
      <c r="C15" s="79"/>
      <c r="D15" s="79">
        <f t="shared" ref="D15" si="6">D10-15</f>
        <v>11</v>
      </c>
      <c r="E15" s="79"/>
      <c r="F15" s="79">
        <f t="shared" ref="F15:I15" si="7">F10-15</f>
        <v>14</v>
      </c>
      <c r="G15" s="79"/>
      <c r="H15" s="11"/>
      <c r="I15" s="79">
        <f t="shared" si="7"/>
        <v>14</v>
      </c>
      <c r="J15" s="80"/>
      <c r="O15" s="2">
        <v>18</v>
      </c>
      <c r="P15" s="77">
        <v>3</v>
      </c>
      <c r="Q15" s="8"/>
      <c r="R15" s="77">
        <v>0</v>
      </c>
      <c r="S15" s="8"/>
      <c r="T15" s="8">
        <v>15.9921875</v>
      </c>
      <c r="U15" s="8">
        <v>8</v>
      </c>
      <c r="V15" s="8">
        <v>7.8125E-3</v>
      </c>
      <c r="W15" s="8"/>
      <c r="Y15" s="5"/>
    </row>
    <row r="16" spans="1:27" x14ac:dyDescent="0.45">
      <c r="A16" s="13" t="s">
        <v>17</v>
      </c>
      <c r="B16" s="81">
        <f>IF(B10 &gt; D10, 0, ABS(B10 - D10))</f>
        <v>0</v>
      </c>
      <c r="C16" s="81"/>
      <c r="D16" s="81">
        <f>IF(D10 &gt; B10, 0, ABS(D10 - B10))</f>
        <v>3</v>
      </c>
      <c r="E16" s="81"/>
      <c r="F16" s="1"/>
      <c r="G16" s="1"/>
      <c r="I16" s="1"/>
      <c r="J16" s="20"/>
      <c r="O16" s="2">
        <v>17</v>
      </c>
      <c r="P16" s="77">
        <v>2</v>
      </c>
      <c r="Q16" s="8"/>
      <c r="R16" s="77">
        <v>0</v>
      </c>
      <c r="S16" s="8"/>
      <c r="T16" s="8">
        <v>7.99609375</v>
      </c>
      <c r="U16" s="8">
        <v>4</v>
      </c>
      <c r="V16" s="8">
        <v>3.90625E-3</v>
      </c>
      <c r="W16" s="8"/>
      <c r="Y16" s="5"/>
    </row>
    <row r="17" spans="1:25" x14ac:dyDescent="0.45">
      <c r="A17" s="15" t="s">
        <v>26</v>
      </c>
      <c r="B17" s="83" t="str">
        <f>DEC2HEX(B16)</f>
        <v>0</v>
      </c>
      <c r="C17" s="83"/>
      <c r="D17" s="83" t="str">
        <f>DEC2HEX(D16)</f>
        <v>3</v>
      </c>
      <c r="E17" s="83"/>
      <c r="F17" s="16"/>
      <c r="G17" s="16"/>
      <c r="H17" s="17"/>
      <c r="I17" s="16"/>
      <c r="J17" s="21"/>
      <c r="O17" s="2">
        <v>16</v>
      </c>
      <c r="P17" s="77">
        <v>1</v>
      </c>
      <c r="Q17" s="8"/>
      <c r="R17" s="77">
        <v>0</v>
      </c>
      <c r="S17" s="8"/>
      <c r="T17" s="8">
        <v>3.998046875</v>
      </c>
      <c r="U17" s="8">
        <v>2</v>
      </c>
      <c r="V17" s="8">
        <v>1.953125E-3</v>
      </c>
      <c r="W17" s="8"/>
      <c r="Y17" s="5"/>
    </row>
    <row r="18" spans="1:25" x14ac:dyDescent="0.45">
      <c r="A18" s="1"/>
      <c r="B18" s="7"/>
      <c r="O18" s="2">
        <v>15</v>
      </c>
      <c r="P18" s="77">
        <v>0</v>
      </c>
      <c r="Q18" s="8"/>
      <c r="R18" s="77">
        <v>0</v>
      </c>
      <c r="S18" s="8"/>
      <c r="T18" s="8">
        <v>1.9990234375</v>
      </c>
      <c r="U18" s="8">
        <v>1</v>
      </c>
      <c r="V18" s="8">
        <v>9.765625E-4</v>
      </c>
      <c r="W18" s="8"/>
      <c r="X18" s="1"/>
      <c r="Y18" s="5"/>
    </row>
    <row r="19" spans="1:25" ht="17.5" customHeight="1" x14ac:dyDescent="0.45">
      <c r="A19" s="36" t="s">
        <v>3</v>
      </c>
      <c r="B19" s="97" t="str" cm="1">
        <f t="array" ref="B19">CutBinaryIgnoreSpaces(B7, 3, 1, 10)</f>
        <v>1110000000</v>
      </c>
      <c r="C19" s="97"/>
      <c r="D19" s="97" t="str" cm="1">
        <f t="array" ref="D19">CutBinaryIgnoreSpaces(D7, 3, 1, 10)</f>
        <v>1111111110</v>
      </c>
      <c r="E19" s="97"/>
      <c r="F19" s="97" t="str" cm="1">
        <f t="array" ref="F19">CutBinaryIgnoreSpaces(F7, 3, 1, 10)</f>
        <v>1100000010</v>
      </c>
      <c r="G19" s="97"/>
      <c r="H19" s="37"/>
      <c r="I19" s="97" t="str" cm="1">
        <f t="array" ref="I19">CutBinaryIgnoreSpaces(I7, 3, 1, 10)</f>
        <v>1100000100</v>
      </c>
      <c r="J19" s="98"/>
      <c r="O19" s="2">
        <v>14</v>
      </c>
      <c r="P19" s="77">
        <v>-1</v>
      </c>
      <c r="Q19" s="8"/>
      <c r="R19" s="77">
        <v>0</v>
      </c>
      <c r="S19" s="8"/>
      <c r="T19" s="8">
        <v>0.99951171875</v>
      </c>
      <c r="U19" s="8">
        <v>0.5</v>
      </c>
      <c r="V19" s="8">
        <v>4.8828125E-4</v>
      </c>
      <c r="W19" s="8"/>
      <c r="Y19" s="5"/>
    </row>
    <row r="20" spans="1:25" ht="17.5" customHeight="1" x14ac:dyDescent="0.45">
      <c r="A20" s="38"/>
      <c r="B20" s="99" t="str" cm="1">
        <f t="array" ref="B20">InsertSpaceEvery4Chars(B19)</f>
        <v>11 1000 0000</v>
      </c>
      <c r="C20" s="99"/>
      <c r="D20" s="99" t="str" cm="1">
        <f t="array" ref="D20">InsertSpaceEvery4Chars(D19)</f>
        <v>11 1111 1110</v>
      </c>
      <c r="E20" s="99"/>
      <c r="F20" s="99" t="str" cm="1">
        <f t="array" ref="F20">InsertSpaceEvery4Chars(F19)</f>
        <v>11 0000 0010</v>
      </c>
      <c r="G20" s="99"/>
      <c r="H20" s="39"/>
      <c r="I20" s="99" t="str" cm="1">
        <f t="array" ref="I20">InsertSpaceEvery4Chars(I19)</f>
        <v>11 0000 0100</v>
      </c>
      <c r="J20" s="100"/>
      <c r="O20" s="2">
        <v>13</v>
      </c>
      <c r="P20" s="77">
        <v>-2</v>
      </c>
      <c r="Q20" s="8"/>
      <c r="R20" s="77">
        <v>0</v>
      </c>
      <c r="S20" s="8"/>
      <c r="T20" s="8">
        <v>0.499755859375</v>
      </c>
      <c r="U20" s="8">
        <v>0.25</v>
      </c>
      <c r="V20" s="8">
        <v>2.44140625E-4</v>
      </c>
      <c r="W20" s="8"/>
      <c r="Y20" s="5"/>
    </row>
    <row r="21" spans="1:25" ht="17.5" customHeight="1" x14ac:dyDescent="0.45">
      <c r="A21" s="40" t="s">
        <v>21</v>
      </c>
      <c r="B21" s="101" t="str" cm="1">
        <f t="array" ref="B21">BinPartsToHex(B19)</f>
        <v>380</v>
      </c>
      <c r="C21" s="101"/>
      <c r="D21" s="101" t="str" cm="1">
        <f t="array" ref="D21">BinPartsToHex(D19)</f>
        <v>3FE</v>
      </c>
      <c r="E21" s="101"/>
      <c r="F21" s="101" t="str" cm="1">
        <f t="array" ref="F21">BinPartsToHex(F19)</f>
        <v>302</v>
      </c>
      <c r="G21" s="101"/>
      <c r="H21" s="41"/>
      <c r="I21" s="101" t="str" cm="1">
        <f t="array" ref="I21">BinPartsToHex(I19)</f>
        <v>304</v>
      </c>
      <c r="J21" s="102"/>
      <c r="O21" s="2">
        <v>12</v>
      </c>
      <c r="P21" s="77">
        <v>-3</v>
      </c>
      <c r="Q21" s="8"/>
      <c r="R21" s="77">
        <v>0</v>
      </c>
      <c r="S21" s="8"/>
      <c r="T21" s="8">
        <v>0.2498779296875</v>
      </c>
      <c r="U21" s="8">
        <v>0.125</v>
      </c>
      <c r="V21" s="8">
        <v>1.220703125E-4</v>
      </c>
      <c r="W21" s="8"/>
      <c r="Y21" s="5"/>
    </row>
    <row r="22" spans="1:25" ht="17.5" customHeight="1" x14ac:dyDescent="0.45">
      <c r="A22" s="1"/>
      <c r="B22" s="1"/>
      <c r="C22" s="1"/>
      <c r="D22" s="1"/>
      <c r="E22" s="1"/>
      <c r="F22" s="1"/>
      <c r="G22" s="1"/>
      <c r="I22" s="1"/>
      <c r="J22" s="1"/>
      <c r="O22" s="2">
        <v>11</v>
      </c>
      <c r="P22" s="77">
        <v>-4</v>
      </c>
      <c r="Q22" s="8"/>
      <c r="R22" s="77">
        <v>0</v>
      </c>
      <c r="S22" s="8"/>
      <c r="T22" s="8">
        <v>0.12493896484375</v>
      </c>
      <c r="U22" s="8">
        <v>6.25E-2</v>
      </c>
      <c r="V22" s="8">
        <v>6.103515625E-5</v>
      </c>
      <c r="W22" s="8"/>
      <c r="Y22" s="5"/>
    </row>
    <row r="23" spans="1:25" ht="17.5" customHeight="1" x14ac:dyDescent="0.45">
      <c r="A23" s="42" t="s">
        <v>10</v>
      </c>
      <c r="B23" s="103" t="str" cm="1">
        <f t="array" ref="B23">IF(B10&lt;&gt;0, AddOneToLeftOfBinary(B19), "0"&amp;B19)</f>
        <v>11110000000</v>
      </c>
      <c r="C23" s="103"/>
      <c r="D23" s="103" t="str" cm="1">
        <f t="array" ref="D23">IF(D10&lt;&gt;0, AddOneToLeftOfBinary(D19), "0"&amp;D19)</f>
        <v>11111111110</v>
      </c>
      <c r="E23" s="103"/>
      <c r="F23" s="103" t="str" cm="1">
        <f t="array" ref="F23">IF(F10&lt;&gt;0, AddOneToLeftOfBinary(F19), "0"&amp;F19)</f>
        <v>11100000010</v>
      </c>
      <c r="G23" s="103"/>
      <c r="H23" s="43"/>
      <c r="I23" s="103" t="str" cm="1">
        <f t="array" ref="I23">IF(I10&lt;&gt;0, AddOneToLeftOfBinary(I19), "0"&amp;I19)</f>
        <v>11100000100</v>
      </c>
      <c r="J23" s="104"/>
      <c r="O23" s="2">
        <v>10</v>
      </c>
      <c r="P23" s="77">
        <v>-5</v>
      </c>
      <c r="Q23" s="8"/>
      <c r="R23" s="77">
        <v>0</v>
      </c>
      <c r="S23" s="8"/>
      <c r="T23" s="8">
        <v>6.2469482421875E-2</v>
      </c>
      <c r="U23" s="8">
        <v>3.125E-2</v>
      </c>
      <c r="V23" s="8">
        <v>3.0517578125E-5</v>
      </c>
      <c r="W23" s="8"/>
    </row>
    <row r="24" spans="1:25" ht="17.5" customHeight="1" x14ac:dyDescent="0.45">
      <c r="A24" s="44"/>
      <c r="B24" s="105" t="str" cm="1">
        <f t="array" ref="B24">InsertSpaceEvery4Chars(B23)</f>
        <v>111 1000 0000</v>
      </c>
      <c r="C24" s="105"/>
      <c r="D24" s="105" t="str" cm="1">
        <f t="array" ref="D24">InsertSpaceEvery4Chars(D23)</f>
        <v>111 1111 1110</v>
      </c>
      <c r="E24" s="105"/>
      <c r="F24" s="105" t="str" cm="1">
        <f t="array" ref="F24">InsertSpaceEvery4Chars(F23)</f>
        <v>111 0000 0010</v>
      </c>
      <c r="G24" s="105"/>
      <c r="H24" s="45"/>
      <c r="I24" s="105" t="str" cm="1">
        <f t="array" ref="I24">InsertSpaceEvery4Chars(I23)</f>
        <v>111 0000 0100</v>
      </c>
      <c r="J24" s="106"/>
      <c r="O24" s="2">
        <v>9</v>
      </c>
      <c r="P24" s="77">
        <v>-6</v>
      </c>
      <c r="Q24" s="8"/>
      <c r="R24" s="77">
        <v>0</v>
      </c>
      <c r="S24" s="8"/>
      <c r="T24" s="8">
        <v>3.12347412109375E-2</v>
      </c>
      <c r="U24" s="8">
        <v>1.5625E-2</v>
      </c>
      <c r="V24" s="8">
        <v>1.52587890625E-5</v>
      </c>
      <c r="W24" s="8"/>
      <c r="X24" s="1"/>
    </row>
    <row r="25" spans="1:25" ht="17.5" customHeight="1" x14ac:dyDescent="0.45">
      <c r="A25" s="46" t="s">
        <v>21</v>
      </c>
      <c r="B25" s="107" t="str" cm="1">
        <f t="array" ref="B25">BinPartsToHex(B23)</f>
        <v>780</v>
      </c>
      <c r="C25" s="107"/>
      <c r="D25" s="107" t="str" cm="1">
        <f t="array" ref="D25">BinPartsToHex(D23)</f>
        <v>7FE</v>
      </c>
      <c r="E25" s="107"/>
      <c r="F25" s="107" t="str" cm="1">
        <f t="array" ref="F25">BinPartsToHex(F23)</f>
        <v>702</v>
      </c>
      <c r="G25" s="107"/>
      <c r="H25" s="47"/>
      <c r="I25" s="107" t="str" cm="1">
        <f t="array" ref="I25">BinPartsToHex(I23)</f>
        <v>704</v>
      </c>
      <c r="J25" s="108"/>
      <c r="O25" s="2">
        <v>8</v>
      </c>
      <c r="P25" s="77">
        <v>-7</v>
      </c>
      <c r="Q25" s="8"/>
      <c r="R25" s="77">
        <v>0</v>
      </c>
      <c r="S25" s="8"/>
      <c r="T25" s="8">
        <v>1.561737060546875E-2</v>
      </c>
      <c r="U25" s="8">
        <v>7.8125E-3</v>
      </c>
      <c r="V25" s="8">
        <v>7.62939453125E-6</v>
      </c>
      <c r="W25" s="8"/>
    </row>
    <row r="26" spans="1:25" x14ac:dyDescent="0.45">
      <c r="A26" s="1"/>
      <c r="I26" s="1"/>
      <c r="O26" s="2">
        <v>7</v>
      </c>
      <c r="P26" s="77">
        <v>-8</v>
      </c>
      <c r="Q26" s="8"/>
      <c r="R26" s="77">
        <v>0</v>
      </c>
      <c r="S26" s="8"/>
      <c r="T26" s="8">
        <v>7.808685302734375E-3</v>
      </c>
      <c r="U26" s="8">
        <v>3.90625E-3</v>
      </c>
      <c r="V26" s="8">
        <v>3.814697265625E-6</v>
      </c>
      <c r="W26" s="8"/>
      <c r="Y26" s="5"/>
    </row>
    <row r="27" spans="1:25" ht="17.5" customHeight="1" x14ac:dyDescent="0.45">
      <c r="A27" s="9" t="s">
        <v>11</v>
      </c>
      <c r="B27" s="79" t="str" cm="1">
        <f t="array" ref="B27">AddThreeBitsToRight(B23)</f>
        <v>11110000000000</v>
      </c>
      <c r="C27" s="79"/>
      <c r="D27" s="79" t="str" cm="1">
        <f t="array" ref="D27">AddThreeBitsToRight(D23)</f>
        <v>11111111110000</v>
      </c>
      <c r="E27" s="79"/>
      <c r="F27" s="79" t="str" cm="1">
        <f t="array" ref="F27">AddThreeBitsToRight(F23)</f>
        <v>11100000010000</v>
      </c>
      <c r="G27" s="79"/>
      <c r="H27" s="11"/>
      <c r="I27" s="11"/>
      <c r="J27" s="19"/>
      <c r="O27" s="2">
        <v>6</v>
      </c>
      <c r="P27" s="77">
        <v>-9</v>
      </c>
      <c r="Q27" s="8"/>
      <c r="R27" s="77">
        <v>0</v>
      </c>
      <c r="S27" s="8"/>
      <c r="T27" s="8">
        <v>3.9043426513671875E-3</v>
      </c>
      <c r="U27" s="8">
        <v>1.953125E-3</v>
      </c>
      <c r="V27" s="8">
        <v>1.9073486328125E-6</v>
      </c>
      <c r="W27" s="8"/>
      <c r="Y27" s="5"/>
    </row>
    <row r="28" spans="1:25" ht="17.5" customHeight="1" x14ac:dyDescent="0.45">
      <c r="A28" s="13"/>
      <c r="B28" s="81" t="str" cm="1">
        <f t="array" ref="B28">InsertSpaceEvery4Chars(B27)</f>
        <v>11 1100 0000 0000</v>
      </c>
      <c r="C28" s="81"/>
      <c r="D28" s="81" t="str" cm="1">
        <f t="array" ref="D28">InsertSpaceEvery4Chars(D27)</f>
        <v>11 1111 1111 0000</v>
      </c>
      <c r="E28" s="81"/>
      <c r="F28" s="81" t="str" cm="1">
        <f t="array" ref="F28">InsertSpaceEvery4Chars(F27)</f>
        <v>11 1000 0001 0000</v>
      </c>
      <c r="G28" s="81"/>
      <c r="J28" s="20"/>
      <c r="O28" s="2">
        <v>5</v>
      </c>
      <c r="P28" s="77">
        <v>-10</v>
      </c>
      <c r="Q28" s="8"/>
      <c r="R28" s="77">
        <v>0</v>
      </c>
      <c r="S28" s="8"/>
      <c r="T28" s="8">
        <v>1.9521713256835938E-3</v>
      </c>
      <c r="U28" s="8">
        <v>9.765625E-4</v>
      </c>
      <c r="V28" s="8">
        <v>9.5367431640625E-7</v>
      </c>
      <c r="W28" s="8"/>
    </row>
    <row r="29" spans="1:25" ht="17.5" customHeight="1" x14ac:dyDescent="0.45">
      <c r="A29" s="15" t="s">
        <v>21</v>
      </c>
      <c r="B29" s="83" t="str" cm="1">
        <f t="array" ref="B29">BinPartsToHex(B28)</f>
        <v>3C00</v>
      </c>
      <c r="C29" s="83"/>
      <c r="D29" s="83" t="str" cm="1">
        <f t="array" ref="D29">BinPartsToHex(D28)</f>
        <v>3FF0</v>
      </c>
      <c r="E29" s="83"/>
      <c r="F29" s="83" t="str" cm="1">
        <f t="array" ref="F29">BinPartsToHex(F28)</f>
        <v>3810</v>
      </c>
      <c r="G29" s="83"/>
      <c r="H29" s="17"/>
      <c r="I29" s="17"/>
      <c r="J29" s="21"/>
      <c r="O29" s="2">
        <v>4</v>
      </c>
      <c r="P29" s="77">
        <v>-11</v>
      </c>
      <c r="Q29" s="8"/>
      <c r="R29" s="77">
        <v>0</v>
      </c>
      <c r="S29" s="8"/>
      <c r="T29" s="8">
        <v>9.7608566284179688E-4</v>
      </c>
      <c r="U29" s="8">
        <v>4.8828125E-4</v>
      </c>
      <c r="V29" s="8">
        <v>4.76837158203125E-7</v>
      </c>
      <c r="W29" s="8"/>
    </row>
    <row r="30" spans="1:25" x14ac:dyDescent="0.45">
      <c r="A30" s="1"/>
      <c r="C30" s="1"/>
      <c r="D30" s="1"/>
      <c r="E30" s="1"/>
      <c r="F30" s="1"/>
      <c r="G30" s="1"/>
      <c r="O30" s="2">
        <v>3</v>
      </c>
      <c r="P30" s="77">
        <v>-12</v>
      </c>
      <c r="Q30" s="8"/>
      <c r="R30" s="77">
        <v>0</v>
      </c>
      <c r="S30" s="8"/>
      <c r="T30" s="8">
        <v>4.8804283142089844E-4</v>
      </c>
      <c r="U30" s="8">
        <v>2.44140625E-4</v>
      </c>
      <c r="V30" s="8">
        <v>2.384185791015625E-7</v>
      </c>
      <c r="W30" s="8"/>
    </row>
    <row r="31" spans="1:25" ht="17.5" customHeight="1" x14ac:dyDescent="0.45">
      <c r="A31" s="9" t="s">
        <v>48</v>
      </c>
      <c r="B31" s="79" t="str" cm="1">
        <f t="array" ref="B31">RightShiftBinaryString(B23, B16)</f>
        <v>11110000000</v>
      </c>
      <c r="C31" s="79"/>
      <c r="D31" s="79" t="str" cm="1">
        <f t="array" ref="D31">RightShiftBinaryString(D23, D16)</f>
        <v>00011111111</v>
      </c>
      <c r="E31" s="79"/>
      <c r="F31" s="10"/>
      <c r="G31" s="10"/>
      <c r="H31" s="11"/>
      <c r="I31" s="22"/>
      <c r="J31" s="23"/>
      <c r="O31" s="2">
        <v>2</v>
      </c>
      <c r="P31" s="77">
        <v>-13</v>
      </c>
      <c r="Q31" s="8"/>
      <c r="R31" s="77">
        <v>0</v>
      </c>
      <c r="S31" s="8"/>
      <c r="T31" s="8">
        <v>2.4402141571044922E-4</v>
      </c>
      <c r="U31" s="8">
        <v>1.220703125E-4</v>
      </c>
      <c r="V31" s="8">
        <v>1.1920928955078125E-7</v>
      </c>
      <c r="W31" s="8"/>
    </row>
    <row r="32" spans="1:25" x14ac:dyDescent="0.45">
      <c r="A32" s="24"/>
      <c r="B32" s="81" t="str" cm="1">
        <f t="array" ref="B32">InsertSpaceEvery4Chars(B31)</f>
        <v>111 1000 0000</v>
      </c>
      <c r="C32" s="81"/>
      <c r="D32" s="81" t="str" cm="1">
        <f t="array" ref="D32">InsertSpaceEvery4Chars(D31)</f>
        <v>000 1111 1111</v>
      </c>
      <c r="E32" s="81"/>
      <c r="F32" s="1"/>
      <c r="G32" s="1"/>
      <c r="J32" s="20"/>
      <c r="O32" s="2">
        <v>1</v>
      </c>
      <c r="P32" s="77">
        <v>-14</v>
      </c>
      <c r="Q32" s="8"/>
      <c r="R32" s="77">
        <v>0</v>
      </c>
      <c r="S32" s="8"/>
      <c r="T32" s="8">
        <v>1.2201070785522461E-4</v>
      </c>
      <c r="U32" s="8">
        <v>6.103515625E-5</v>
      </c>
      <c r="V32" s="8">
        <v>5.9604644775390625E-8</v>
      </c>
      <c r="W32" s="8"/>
    </row>
    <row r="33" spans="1:23" x14ac:dyDescent="0.45">
      <c r="A33" s="15" t="s">
        <v>21</v>
      </c>
      <c r="B33" s="83" t="str" cm="1">
        <f t="array" ref="B33">BinPartsToHex(B31)</f>
        <v>780</v>
      </c>
      <c r="C33" s="83"/>
      <c r="D33" s="83" t="str" cm="1">
        <f t="array" ref="D33">BinPartsToHex(D31)</f>
        <v>FF</v>
      </c>
      <c r="E33" s="83"/>
      <c r="F33" s="16"/>
      <c r="G33" s="16"/>
      <c r="H33" s="17"/>
      <c r="I33" s="17"/>
      <c r="J33" s="21"/>
      <c r="O33" s="2">
        <v>0</v>
      </c>
      <c r="P33" s="77">
        <v>0</v>
      </c>
      <c r="Q33" s="8"/>
      <c r="R33" s="77">
        <v>0</v>
      </c>
      <c r="S33" s="8"/>
      <c r="T33" s="8">
        <v>0</v>
      </c>
      <c r="U33" s="8">
        <v>0</v>
      </c>
      <c r="V33" s="8">
        <v>0</v>
      </c>
      <c r="W33" s="8"/>
    </row>
    <row r="34" spans="1:23" ht="17.5" customHeight="1" x14ac:dyDescent="0.45">
      <c r="A34" s="1"/>
      <c r="B34" s="96"/>
      <c r="C34" s="96"/>
      <c r="P34" s="8"/>
      <c r="Q34" s="8"/>
      <c r="R34" s="8"/>
      <c r="S34" s="8"/>
      <c r="T34" s="8"/>
      <c r="U34" s="8"/>
      <c r="V34" s="8"/>
      <c r="W34" s="8"/>
    </row>
    <row r="35" spans="1:23" ht="17.5" customHeight="1" x14ac:dyDescent="0.45">
      <c r="A35" s="9" t="s">
        <v>15</v>
      </c>
      <c r="B35" s="79" t="str" cm="1">
        <f t="array" ref="B35">TwosComplement(B31)</f>
        <v>00010000000</v>
      </c>
      <c r="C35" s="79"/>
      <c r="D35" s="79" t="str" cm="1">
        <f t="array" ref="D35">TwosComplement(D31)</f>
        <v>11100000001</v>
      </c>
      <c r="E35" s="80"/>
      <c r="H35" s="1"/>
      <c r="J35" s="3"/>
      <c r="P35" s="8"/>
      <c r="Q35" s="8"/>
      <c r="R35" s="8"/>
      <c r="S35" s="8"/>
      <c r="T35" s="8"/>
      <c r="U35" s="8"/>
      <c r="V35" s="8"/>
      <c r="W35" s="8"/>
    </row>
    <row r="36" spans="1:23" ht="17.5" customHeight="1" x14ac:dyDescent="0.45">
      <c r="A36" s="13"/>
      <c r="B36" s="81" t="str" cm="1">
        <f t="array" ref="B36">InsertSpaceEvery4Chars(B35)</f>
        <v>000 1000 0000</v>
      </c>
      <c r="C36" s="81"/>
      <c r="D36" s="81" t="str" cm="1">
        <f t="array" ref="D36">InsertSpaceEvery4Chars(D35)</f>
        <v>111 0000 0001</v>
      </c>
      <c r="E36" s="82"/>
      <c r="H36" s="1"/>
      <c r="J36" s="1"/>
      <c r="P36" s="8"/>
      <c r="Q36" s="8"/>
      <c r="R36" s="8"/>
      <c r="S36" s="8"/>
      <c r="T36" s="8"/>
      <c r="U36" s="8"/>
      <c r="V36" s="8"/>
      <c r="W36" s="8"/>
    </row>
    <row r="37" spans="1:23" x14ac:dyDescent="0.45">
      <c r="A37" s="15" t="s">
        <v>21</v>
      </c>
      <c r="B37" s="17"/>
      <c r="C37" s="16" t="str" cm="1">
        <f t="array" ref="C37">BinPartsToHex(B36)</f>
        <v>80</v>
      </c>
      <c r="D37" s="16"/>
      <c r="E37" s="18" t="str" cm="1">
        <f t="array" ref="E37">BinPartsToHex(D36)</f>
        <v>701</v>
      </c>
      <c r="F37" s="1"/>
      <c r="G37" s="1" t="str" cm="1">
        <f t="array" ref="G37">BinPartsToHex(F36)</f>
        <v/>
      </c>
      <c r="J37" s="1"/>
      <c r="P37" s="8"/>
      <c r="Q37" s="8"/>
      <c r="R37" s="8"/>
      <c r="S37" s="8"/>
      <c r="T37" s="8"/>
      <c r="U37" s="8"/>
      <c r="V37" s="8"/>
      <c r="W37" s="8"/>
    </row>
    <row r="38" spans="1:23" x14ac:dyDescent="0.45">
      <c r="A38" s="1"/>
      <c r="P38" s="8"/>
      <c r="Q38" s="8"/>
      <c r="R38" s="8"/>
      <c r="S38" s="8"/>
      <c r="T38" s="8"/>
      <c r="U38" s="8"/>
      <c r="V38" s="8"/>
      <c r="W38" s="8"/>
    </row>
    <row r="39" spans="1:23" ht="17.5" customHeight="1" x14ac:dyDescent="0.45">
      <c r="A39" s="36" t="s">
        <v>49</v>
      </c>
      <c r="B39" s="97" t="str" cm="1">
        <f t="array" ref="B39">BinaryAdder(B31, D35)</f>
        <v>111010000001</v>
      </c>
      <c r="C39" s="97"/>
      <c r="D39" s="59"/>
      <c r="E39" s="63"/>
      <c r="P39" s="8"/>
      <c r="Q39" s="8"/>
      <c r="R39" s="8"/>
      <c r="S39" s="8"/>
      <c r="T39" s="8"/>
      <c r="U39" s="8"/>
      <c r="V39" s="8"/>
      <c r="W39" s="8"/>
    </row>
    <row r="40" spans="1:23" x14ac:dyDescent="0.45">
      <c r="A40" s="38"/>
      <c r="B40" s="39"/>
      <c r="C40" s="60" t="str" cm="1">
        <f t="array" ref="C40">InsertSpaceEvery4Chars(B39)</f>
        <v>1110 1000 0001</v>
      </c>
      <c r="D40" s="60"/>
      <c r="E40" s="64"/>
      <c r="P40" s="8"/>
      <c r="Q40" s="8"/>
      <c r="R40" s="8"/>
      <c r="S40" s="8"/>
      <c r="T40" s="8"/>
      <c r="U40" s="8"/>
      <c r="V40" s="8"/>
      <c r="W40" s="8"/>
    </row>
    <row r="41" spans="1:23" x14ac:dyDescent="0.45">
      <c r="A41" s="40" t="s">
        <v>21</v>
      </c>
      <c r="B41" s="41"/>
      <c r="C41" s="61" t="str" cm="1">
        <f t="array" ref="C41">BinPartsToHex(C40)</f>
        <v>E81</v>
      </c>
      <c r="D41" s="61"/>
      <c r="E41" s="65"/>
      <c r="P41" s="8"/>
      <c r="Q41" s="8"/>
      <c r="R41" s="8"/>
      <c r="S41" s="8"/>
      <c r="T41" s="8"/>
      <c r="U41" s="8"/>
      <c r="V41" s="8"/>
      <c r="W41" s="8"/>
    </row>
    <row r="42" spans="1:23" x14ac:dyDescent="0.45">
      <c r="A42" s="1"/>
      <c r="C42" s="1"/>
      <c r="D42" s="1"/>
      <c r="V42" s="8"/>
    </row>
    <row r="43" spans="1:23" x14ac:dyDescent="0.45">
      <c r="A43" s="28" t="s">
        <v>47</v>
      </c>
      <c r="B43" s="29"/>
      <c r="C43" s="30" cm="1">
        <f t="array" ref="C43">FindFirstOnePosition(B39)-1</f>
        <v>0</v>
      </c>
      <c r="D43" s="1"/>
    </row>
    <row r="44" spans="1:23" x14ac:dyDescent="0.45">
      <c r="A44" s="1"/>
      <c r="C44" s="1"/>
      <c r="D44" s="1"/>
      <c r="V44" s="8"/>
    </row>
    <row r="45" spans="1:23" ht="17.5" customHeight="1" x14ac:dyDescent="0.45">
      <c r="A45" s="9" t="s">
        <v>16</v>
      </c>
      <c r="B45" s="79" t="str" cm="1">
        <f t="array" ref="B45">RightShiftBinaryString(B39, C43)</f>
        <v>111010000001</v>
      </c>
      <c r="C45" s="79"/>
      <c r="D45" s="95" t="s">
        <v>29</v>
      </c>
      <c r="E45" s="90"/>
    </row>
    <row r="46" spans="1:23" ht="17.5" customHeight="1" x14ac:dyDescent="0.45">
      <c r="A46" s="13"/>
      <c r="B46" s="81" t="str" cm="1">
        <f t="array" ref="B46">InsertSpaceEvery4Chars(B45)</f>
        <v>1110 1000 0001</v>
      </c>
      <c r="C46" s="81"/>
      <c r="D46" s="81" t="str" cm="1">
        <f t="array" ref="D46">InsertSpaceEvery4Chars(D45)</f>
        <v>10 1111 0101 1100</v>
      </c>
      <c r="E46" s="82"/>
    </row>
    <row r="47" spans="1:23" x14ac:dyDescent="0.45">
      <c r="A47" s="15" t="s">
        <v>21</v>
      </c>
      <c r="B47" s="17"/>
      <c r="C47" s="16" t="str" cm="1">
        <f t="array" ref="C47">BinPartsToHex(B46)</f>
        <v>E81</v>
      </c>
      <c r="D47" s="16"/>
      <c r="E47" s="18" t="str" cm="1">
        <f t="array" ref="E47">BinPartsToHex(D46)</f>
        <v>2F5C</v>
      </c>
    </row>
    <row r="48" spans="1:23" x14ac:dyDescent="0.45">
      <c r="A48" s="1"/>
    </row>
    <row r="49" spans="1:5" x14ac:dyDescent="0.45">
      <c r="A49" s="9" t="s">
        <v>12</v>
      </c>
      <c r="B49" s="25"/>
      <c r="C49" s="10" t="str">
        <f>MID(RIGHT(B45, 4), 1, 1)</f>
        <v>0</v>
      </c>
      <c r="D49" s="11"/>
      <c r="E49" s="12" t="str">
        <f>MID(RIGHT(D45, 4), 1, 1)</f>
        <v>1</v>
      </c>
    </row>
    <row r="50" spans="1:5" x14ac:dyDescent="0.45">
      <c r="A50" s="13" t="s">
        <v>7</v>
      </c>
      <c r="B50" s="26"/>
      <c r="C50" s="1" t="str">
        <f>MID(RIGHT(B45, 3), 1, 1)</f>
        <v>0</v>
      </c>
      <c r="D50" s="1"/>
      <c r="E50" s="14" t="str">
        <f>MID(RIGHT(D45, 3), 1, 1)</f>
        <v>1</v>
      </c>
    </row>
    <row r="51" spans="1:5" x14ac:dyDescent="0.45">
      <c r="A51" s="13" t="s">
        <v>8</v>
      </c>
      <c r="B51" s="26"/>
      <c r="C51" s="1" t="str">
        <f>MID(RIGHT(B45, 2), 1, 1)</f>
        <v>0</v>
      </c>
      <c r="D51" s="1"/>
      <c r="E51" s="14" t="str">
        <f>MID(RIGHT(D45, 2), 1, 1)</f>
        <v>0</v>
      </c>
    </row>
    <row r="52" spans="1:5" x14ac:dyDescent="0.45">
      <c r="A52" s="15" t="s">
        <v>9</v>
      </c>
      <c r="B52" s="27"/>
      <c r="C52" s="16" t="str">
        <f>MID(RIGHT(B45, 1), 1, 1)</f>
        <v>1</v>
      </c>
      <c r="D52" s="16"/>
      <c r="E52" s="18" t="str">
        <f>MID(RIGHT(D45, 1), 1, 1)</f>
        <v>0</v>
      </c>
    </row>
    <row r="53" spans="1:5" x14ac:dyDescent="0.45">
      <c r="A53" s="1"/>
    </row>
    <row r="54" spans="1:5" x14ac:dyDescent="0.45">
      <c r="A54" s="9" t="s">
        <v>22</v>
      </c>
      <c r="B54" s="11"/>
      <c r="C54" s="10" t="str" cm="1">
        <f t="array" ref="C54">AlignBitsBin(B45,C49,C50,C51,C52)</f>
        <v>11101000000</v>
      </c>
      <c r="D54" s="10"/>
      <c r="E54" s="12" t="str" cm="1">
        <f t="array" ref="E54">AlignBitsBin(D45,E49,E50,E51,E52)</f>
        <v>10111101100</v>
      </c>
    </row>
    <row r="55" spans="1:5" x14ac:dyDescent="0.45">
      <c r="A55" s="31"/>
      <c r="C55" s="1" t="str" cm="1">
        <f t="array" ref="C55">InsertSpaceEvery4Chars(C54)</f>
        <v>111 0100 0000</v>
      </c>
      <c r="D55" s="1"/>
      <c r="E55" s="14" t="str" cm="1">
        <f t="array" ref="E55">InsertSpaceEvery4Chars(E54)</f>
        <v>101 1110 1100</v>
      </c>
    </row>
    <row r="56" spans="1:5" x14ac:dyDescent="0.45">
      <c r="A56" s="15" t="s">
        <v>21</v>
      </c>
      <c r="B56" s="17"/>
      <c r="C56" s="16" t="str" cm="1">
        <f t="array" ref="C56">BinPartsToHex(C55)</f>
        <v>740</v>
      </c>
      <c r="D56" s="16"/>
      <c r="E56" s="18" t="str" cm="1">
        <f t="array" ref="E56">BinPartsToHex(E55)</f>
        <v>5EC</v>
      </c>
    </row>
  </sheetData>
  <mergeCells count="93">
    <mergeCell ref="B39:C39"/>
    <mergeCell ref="B45:C45"/>
    <mergeCell ref="D45:E45"/>
    <mergeCell ref="B46:C46"/>
    <mergeCell ref="D46:E46"/>
    <mergeCell ref="B36:C36"/>
    <mergeCell ref="D36:E36"/>
    <mergeCell ref="B29:C29"/>
    <mergeCell ref="D29:E29"/>
    <mergeCell ref="F29:G29"/>
    <mergeCell ref="B31:C31"/>
    <mergeCell ref="D31:E31"/>
    <mergeCell ref="B32:C32"/>
    <mergeCell ref="D32:E32"/>
    <mergeCell ref="B33:C33"/>
    <mergeCell ref="D33:E33"/>
    <mergeCell ref="B34:C34"/>
    <mergeCell ref="B35:C35"/>
    <mergeCell ref="D35:E35"/>
    <mergeCell ref="B27:C27"/>
    <mergeCell ref="D27:E27"/>
    <mergeCell ref="F27:G27"/>
    <mergeCell ref="B28:C28"/>
    <mergeCell ref="D28:E28"/>
    <mergeCell ref="F28:G28"/>
    <mergeCell ref="B24:C24"/>
    <mergeCell ref="D24:E24"/>
    <mergeCell ref="F24:G24"/>
    <mergeCell ref="I24:J24"/>
    <mergeCell ref="B25:C25"/>
    <mergeCell ref="D25:E25"/>
    <mergeCell ref="F25:G25"/>
    <mergeCell ref="I25:J25"/>
    <mergeCell ref="B21:C21"/>
    <mergeCell ref="D21:E21"/>
    <mergeCell ref="F21:G21"/>
    <mergeCell ref="I21:J21"/>
    <mergeCell ref="B23:C23"/>
    <mergeCell ref="D23:E23"/>
    <mergeCell ref="F23:G23"/>
    <mergeCell ref="I23:J23"/>
    <mergeCell ref="F19:G19"/>
    <mergeCell ref="I19:J19"/>
    <mergeCell ref="B20:C20"/>
    <mergeCell ref="D20:E20"/>
    <mergeCell ref="F20:G20"/>
    <mergeCell ref="I20:J20"/>
    <mergeCell ref="B16:C16"/>
    <mergeCell ref="D16:E16"/>
    <mergeCell ref="B17:C17"/>
    <mergeCell ref="D17:E17"/>
    <mergeCell ref="B19:C19"/>
    <mergeCell ref="D19:E19"/>
    <mergeCell ref="B13:C13"/>
    <mergeCell ref="D13:E13"/>
    <mergeCell ref="F13:G13"/>
    <mergeCell ref="I13:J13"/>
    <mergeCell ref="B15:C15"/>
    <mergeCell ref="D15:E15"/>
    <mergeCell ref="F15:G15"/>
    <mergeCell ref="I15:J15"/>
    <mergeCell ref="B7:C7"/>
    <mergeCell ref="D7:E7"/>
    <mergeCell ref="F7:G7"/>
    <mergeCell ref="I7:J7"/>
    <mergeCell ref="B8:C8"/>
    <mergeCell ref="D8:E8"/>
    <mergeCell ref="F8:G8"/>
    <mergeCell ref="I8:J8"/>
    <mergeCell ref="B5:C5"/>
    <mergeCell ref="D5:E5"/>
    <mergeCell ref="F5:G5"/>
    <mergeCell ref="I5:J5"/>
    <mergeCell ref="B6:C6"/>
    <mergeCell ref="D6:E6"/>
    <mergeCell ref="F6:G6"/>
    <mergeCell ref="I6:J6"/>
    <mergeCell ref="B3:C3"/>
    <mergeCell ref="D3:E3"/>
    <mergeCell ref="F3:G3"/>
    <mergeCell ref="I3:J3"/>
    <mergeCell ref="B4:C4"/>
    <mergeCell ref="D4:E4"/>
    <mergeCell ref="F4:G4"/>
    <mergeCell ref="I4:J4"/>
    <mergeCell ref="B1:C1"/>
    <mergeCell ref="D1:E1"/>
    <mergeCell ref="F1:G1"/>
    <mergeCell ref="I1:J1"/>
    <mergeCell ref="B2:C2"/>
    <mergeCell ref="D2:E2"/>
    <mergeCell ref="F2:G2"/>
    <mergeCell ref="I2:J2"/>
  </mergeCells>
  <phoneticPr fontId="1" type="noConversion"/>
  <conditionalFormatting sqref="B13:G13">
    <cfRule type="cellIs" dxfId="23" priority="5" operator="equal">
      <formula>"NaN"</formula>
    </cfRule>
    <cfRule type="cellIs" dxfId="22" priority="6" operator="equal">
      <formula>"Denormal"</formula>
    </cfRule>
  </conditionalFormatting>
  <conditionalFormatting sqref="B13:G13">
    <cfRule type="cellIs" dxfId="21" priority="4" operator="equal">
      <formula>"Infinite"</formula>
    </cfRule>
  </conditionalFormatting>
  <conditionalFormatting sqref="I13:J13">
    <cfRule type="cellIs" dxfId="20" priority="2" operator="equal">
      <formula>"NaN"</formula>
    </cfRule>
    <cfRule type="cellIs" dxfId="19" priority="3" operator="equal">
      <formula>"Denormal"</formula>
    </cfRule>
  </conditionalFormatting>
  <conditionalFormatting sqref="I13:J13">
    <cfRule type="cellIs" dxfId="18" priority="1" operator="equal">
      <formula>"Infinite"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735C1D-419C-4E91-ABBF-91E250959076}">
  <sheetPr codeName="Sheet2"/>
  <dimension ref="A1:AR50"/>
  <sheetViews>
    <sheetView showGridLines="0" zoomScaleNormal="100" workbookViewId="0">
      <selection activeCell="I18" sqref="I18"/>
    </sheetView>
  </sheetViews>
  <sheetFormatPr defaultRowHeight="15.5" x14ac:dyDescent="0.45"/>
  <cols>
    <col min="1" max="1" width="36.61328125" style="2" customWidth="1"/>
    <col min="2" max="8" width="12.07421875" style="2" customWidth="1"/>
    <col min="9" max="10" width="12.15234375" style="2" customWidth="1"/>
    <col min="11" max="11" width="8.3046875" style="2" customWidth="1"/>
    <col min="12" max="12" width="4.3046875" style="2" customWidth="1"/>
    <col min="13" max="13" width="17.3046875" style="2" customWidth="1"/>
    <col min="14" max="14" width="7.53515625" style="2" customWidth="1"/>
    <col min="15" max="15" width="7.3046875" style="2" customWidth="1"/>
    <col min="16" max="16" width="21.07421875" style="3" customWidth="1"/>
    <col min="17" max="17" width="3.23046875" style="3" customWidth="1"/>
    <col min="18" max="18" width="3.23046875" style="1" customWidth="1"/>
    <col min="19" max="52" width="3.23046875" style="2" customWidth="1"/>
    <col min="53" max="16384" width="9.23046875" style="2"/>
  </cols>
  <sheetData>
    <row r="1" spans="1:44" ht="17.5" customHeight="1" x14ac:dyDescent="0.45">
      <c r="B1" s="93" t="s">
        <v>4</v>
      </c>
      <c r="C1" s="93"/>
      <c r="D1" s="94" t="s">
        <v>5</v>
      </c>
      <c r="E1" s="94"/>
      <c r="F1" s="88" t="s">
        <v>31</v>
      </c>
      <c r="G1" s="88"/>
      <c r="I1" s="88" t="s">
        <v>18</v>
      </c>
      <c r="J1" s="88"/>
    </row>
    <row r="2" spans="1:44" ht="17.5" customHeight="1" x14ac:dyDescent="0.45">
      <c r="A2" s="32" t="s">
        <v>0</v>
      </c>
      <c r="B2" s="89" t="s">
        <v>85</v>
      </c>
      <c r="C2" s="90"/>
      <c r="D2" s="89" t="s">
        <v>86</v>
      </c>
      <c r="E2" s="90"/>
      <c r="F2" s="89" t="s">
        <v>87</v>
      </c>
      <c r="G2" s="90"/>
      <c r="I2" s="89" t="s">
        <v>88</v>
      </c>
      <c r="J2" s="90"/>
      <c r="L2" s="2">
        <v>16</v>
      </c>
      <c r="M2" s="8">
        <f t="shared" ref="M2:M24" si="0">2^(L2)</f>
        <v>65536</v>
      </c>
      <c r="N2" s="8"/>
    </row>
    <row r="3" spans="1:44" ht="17.5" customHeight="1" x14ac:dyDescent="0.45">
      <c r="A3" s="33" t="s">
        <v>19</v>
      </c>
      <c r="B3" s="91" cm="1">
        <f t="array" ref="B3">FP16HexToDecimal(B2)</f>
        <v>2.08984375</v>
      </c>
      <c r="C3" s="92"/>
      <c r="D3" s="91" cm="1">
        <f t="array" ref="D3">FP16HexToDecimal(D2)</f>
        <v>0.62548828125</v>
      </c>
      <c r="E3" s="92"/>
      <c r="F3" s="91" cm="1">
        <f t="array" ref="F3">FP16HexToDecimal(F2)</f>
        <v>1.3076171875</v>
      </c>
      <c r="G3" s="92"/>
      <c r="H3" s="1"/>
      <c r="I3" s="91" cm="1">
        <f t="array" ref="I3">FP16HexToDecimal(I2)</f>
        <v>1.45703125</v>
      </c>
      <c r="J3" s="92"/>
      <c r="L3" s="2">
        <v>15</v>
      </c>
      <c r="M3" s="8">
        <f t="shared" si="0"/>
        <v>32768</v>
      </c>
      <c r="N3" s="8"/>
    </row>
    <row r="4" spans="1:44" ht="17.5" customHeight="1" x14ac:dyDescent="0.45">
      <c r="A4" s="33" t="s">
        <v>28</v>
      </c>
      <c r="B4" s="91">
        <f>2^(B15-9)</f>
        <v>3.90625E-3</v>
      </c>
      <c r="C4" s="92"/>
      <c r="D4" s="91">
        <f>2^(D15-9)</f>
        <v>9.765625E-4</v>
      </c>
      <c r="E4" s="92"/>
      <c r="F4" s="91">
        <f>2^(F15-9)</f>
        <v>1.953125E-3</v>
      </c>
      <c r="G4" s="92"/>
      <c r="H4" s="1"/>
      <c r="I4" s="91">
        <f>2^(I15-9)</f>
        <v>1.953125E-3</v>
      </c>
      <c r="J4" s="92"/>
      <c r="L4" s="2">
        <v>14</v>
      </c>
      <c r="M4" s="8">
        <f t="shared" si="0"/>
        <v>16384</v>
      </c>
      <c r="N4" s="8"/>
      <c r="R4" s="5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</row>
    <row r="5" spans="1:44" ht="17.5" customHeight="1" x14ac:dyDescent="0.45">
      <c r="A5" s="33" t="s">
        <v>1</v>
      </c>
      <c r="B5" s="85" t="str" cm="1">
        <f t="array" ref="B5">(MY_HEX2BIN(B2))</f>
        <v>0100000000101110</v>
      </c>
      <c r="C5" s="82"/>
      <c r="D5" s="85" t="str" cm="1">
        <f t="array" ref="D5">(MY_HEX2BIN(D2))</f>
        <v>0011100100000001</v>
      </c>
      <c r="E5" s="82"/>
      <c r="F5" s="85" t="str" cm="1">
        <f t="array" ref="F5">(MY_HEX2BIN(F2))</f>
        <v>0011110100111011</v>
      </c>
      <c r="G5" s="82"/>
      <c r="I5" s="85" t="str" cm="1">
        <f t="array" ref="I5">(MY_HEX2BIN(I2))</f>
        <v>0011110111010100</v>
      </c>
      <c r="J5" s="82"/>
      <c r="L5" s="2">
        <v>13</v>
      </c>
      <c r="M5" s="8">
        <f t="shared" si="0"/>
        <v>8192</v>
      </c>
      <c r="N5" s="8"/>
      <c r="P5" s="3" t="s">
        <v>36</v>
      </c>
      <c r="Q5" s="5" t="s">
        <v>37</v>
      </c>
      <c r="R5" s="6" t="s">
        <v>38</v>
      </c>
      <c r="S5" s="6" t="s">
        <v>37</v>
      </c>
      <c r="T5" s="6" t="s">
        <v>37</v>
      </c>
      <c r="U5" s="6" t="s">
        <v>38</v>
      </c>
      <c r="V5" s="6" t="s">
        <v>37</v>
      </c>
      <c r="W5" s="6" t="s">
        <v>38</v>
      </c>
      <c r="X5" s="6" t="s">
        <v>37</v>
      </c>
      <c r="Y5" s="6" t="s">
        <v>37</v>
      </c>
      <c r="Z5" s="6" t="s">
        <v>37</v>
      </c>
      <c r="AA5" s="6" t="s">
        <v>37</v>
      </c>
      <c r="AB5" s="6" t="s">
        <v>38</v>
      </c>
      <c r="AC5" s="6" t="s">
        <v>37</v>
      </c>
      <c r="AD5" s="6" t="s">
        <v>37</v>
      </c>
      <c r="AE5" s="6" t="s">
        <v>37</v>
      </c>
      <c r="AF5" s="6" t="s">
        <v>38</v>
      </c>
      <c r="AG5" s="6" t="s">
        <v>38</v>
      </c>
      <c r="AH5" s="6" t="s">
        <v>37</v>
      </c>
      <c r="AI5" s="6" t="s">
        <v>37</v>
      </c>
      <c r="AJ5" s="6" t="s">
        <v>38</v>
      </c>
      <c r="AK5" s="6" t="s">
        <v>38</v>
      </c>
      <c r="AL5" s="6" t="s">
        <v>37</v>
      </c>
    </row>
    <row r="6" spans="1:44" ht="17.5" customHeight="1" x14ac:dyDescent="0.45">
      <c r="A6" s="33"/>
      <c r="B6" s="85" t="str" cm="1">
        <f t="array" ref="B6">InsertSpaceEvery4Chars(B5)</f>
        <v>0100 0000 0010 1110</v>
      </c>
      <c r="C6" s="82"/>
      <c r="D6" s="85" t="str" cm="1">
        <f t="array" ref="D6">InsertSpaceEvery4Chars(D5)</f>
        <v>0011 1001 0000 0001</v>
      </c>
      <c r="E6" s="82"/>
      <c r="F6" s="85" t="str" cm="1">
        <f t="array" ref="F6">InsertSpaceEvery4Chars(F5)</f>
        <v>0011 1101 0011 1011</v>
      </c>
      <c r="G6" s="82"/>
      <c r="I6" s="85" t="str" cm="1">
        <f t="array" ref="I6">InsertSpaceEvery4Chars(I5)</f>
        <v>0011 1101 1101 0100</v>
      </c>
      <c r="J6" s="82"/>
      <c r="L6" s="2">
        <v>12</v>
      </c>
      <c r="M6" s="8">
        <f t="shared" si="0"/>
        <v>4096</v>
      </c>
      <c r="N6" s="8"/>
      <c r="Q6" s="5"/>
      <c r="R6" s="6"/>
      <c r="S6" s="4"/>
    </row>
    <row r="7" spans="1:44" ht="17.5" customHeight="1" x14ac:dyDescent="0.45">
      <c r="A7" s="33" t="s">
        <v>2</v>
      </c>
      <c r="B7" s="85" t="str" cm="1">
        <f t="array" ref="B7">SplitBinary(B5, 1, 6)</f>
        <v>0 | 1 0000 | 00 0010 1110</v>
      </c>
      <c r="C7" s="82"/>
      <c r="D7" s="85" t="str" cm="1">
        <f t="array" ref="D7">SplitBinary(D5, 1, 6)</f>
        <v>0 | 0 1110 | 01 0000 0001</v>
      </c>
      <c r="E7" s="82"/>
      <c r="F7" s="85" t="str" cm="1">
        <f t="array" ref="F7">SplitBinary(F5, 1, 6)</f>
        <v>0 | 0 1111 | 01 0011 1011</v>
      </c>
      <c r="G7" s="82"/>
      <c r="I7" s="85" t="str" cm="1">
        <f t="array" ref="I7">SplitBinary(I5, 1, 6)</f>
        <v>0 | 0 1111 | 01 1101 0100</v>
      </c>
      <c r="J7" s="82"/>
      <c r="L7" s="2">
        <v>11</v>
      </c>
      <c r="M7" s="8">
        <f t="shared" si="0"/>
        <v>2048</v>
      </c>
      <c r="N7" s="8"/>
      <c r="P7" s="1"/>
      <c r="Q7" s="6"/>
    </row>
    <row r="8" spans="1:44" ht="17.5" customHeight="1" x14ac:dyDescent="0.45">
      <c r="A8" s="33"/>
      <c r="B8" s="85" t="str" cm="1">
        <f t="array" ref="B8">BinPartsToHex(B7)</f>
        <v>0 | 10 | 2E</v>
      </c>
      <c r="C8" s="82"/>
      <c r="D8" s="85" t="str" cm="1">
        <f t="array" ref="D8">BinPartsToHex(D7)</f>
        <v>0 | E | 101</v>
      </c>
      <c r="E8" s="82"/>
      <c r="F8" s="85" t="str" cm="1">
        <f t="array" ref="F8">BinPartsToHex(F7)</f>
        <v>0 | F | 13B</v>
      </c>
      <c r="G8" s="82"/>
      <c r="I8" s="85" t="str" cm="1">
        <f t="array" ref="I8">BinPartsToHex(I7)</f>
        <v>0 | F | 1D4</v>
      </c>
      <c r="J8" s="82"/>
      <c r="L8" s="2">
        <v>10</v>
      </c>
      <c r="M8" s="8">
        <f t="shared" si="0"/>
        <v>1024</v>
      </c>
      <c r="N8" s="8"/>
      <c r="Q8" s="5"/>
    </row>
    <row r="9" spans="1:44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0</v>
      </c>
      <c r="E9" s="14" t="str" cm="1">
        <f t="array" ref="E9">GetPipePart(D$8, 1)</f>
        <v>0</v>
      </c>
      <c r="F9" s="13">
        <f>HEX2DEC(G9)</f>
        <v>0</v>
      </c>
      <c r="G9" s="14" t="str" cm="1">
        <f t="array" ref="G9">GetPipePart(F$8, 1)</f>
        <v>0</v>
      </c>
      <c r="I9" s="13">
        <f>HEX2DEC(J9)</f>
        <v>0</v>
      </c>
      <c r="J9" s="14" t="str" cm="1">
        <f t="array" ref="J9">GetPipePart(I$8, 1)</f>
        <v>0</v>
      </c>
      <c r="L9" s="2">
        <v>9</v>
      </c>
      <c r="M9" s="8">
        <f t="shared" si="0"/>
        <v>512</v>
      </c>
      <c r="N9" s="8"/>
      <c r="O9" s="1"/>
      <c r="Q9" s="2"/>
      <c r="R9" s="2"/>
      <c r="AB9" s="5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</row>
    <row r="10" spans="1:44" x14ac:dyDescent="0.45">
      <c r="A10" s="33" t="s">
        <v>24</v>
      </c>
      <c r="B10" s="13">
        <f t="shared" ref="B10:B11" si="1">HEX2DEC(C10)</f>
        <v>16</v>
      </c>
      <c r="C10" s="14" t="str" cm="1">
        <f t="array" ref="C10">GetPipePart(B$8, 2)</f>
        <v>10</v>
      </c>
      <c r="D10" s="13">
        <f t="shared" ref="D10:D11" si="2">HEX2DEC(E10)</f>
        <v>14</v>
      </c>
      <c r="E10" s="14" t="str" cm="1">
        <f t="array" ref="E10">GetPipePart(D$8, 2)</f>
        <v>E</v>
      </c>
      <c r="F10" s="13">
        <f t="shared" ref="F10:F11" si="3">HEX2DEC(G10)</f>
        <v>15</v>
      </c>
      <c r="G10" s="14" t="str" cm="1">
        <f t="array" ref="G10">GetPipePart(F$8, 2)</f>
        <v>F</v>
      </c>
      <c r="I10" s="13">
        <f t="shared" ref="I10:I11" si="4">HEX2DEC(J10)</f>
        <v>15</v>
      </c>
      <c r="J10" s="14" t="str" cm="1">
        <f t="array" ref="J10">GetPipePart(I$8, 2)</f>
        <v>F</v>
      </c>
      <c r="L10" s="2">
        <v>8</v>
      </c>
      <c r="M10" s="8">
        <f t="shared" si="0"/>
        <v>256</v>
      </c>
      <c r="N10" s="8"/>
      <c r="P10" s="1"/>
      <c r="Q10" s="5" t="s">
        <v>37</v>
      </c>
      <c r="R10" s="6" t="s">
        <v>38</v>
      </c>
      <c r="S10" s="6" t="s">
        <v>37</v>
      </c>
      <c r="T10" s="6" t="s">
        <v>37</v>
      </c>
      <c r="U10" s="6" t="s">
        <v>38</v>
      </c>
      <c r="V10" s="6" t="s">
        <v>37</v>
      </c>
      <c r="W10" s="6" t="s">
        <v>38</v>
      </c>
      <c r="X10" s="6" t="s">
        <v>37</v>
      </c>
      <c r="Y10" s="6" t="s">
        <v>37</v>
      </c>
      <c r="Z10" s="6" t="s">
        <v>37</v>
      </c>
      <c r="AA10" s="6" t="s">
        <v>37</v>
      </c>
      <c r="AB10" s="6" t="s">
        <v>38</v>
      </c>
      <c r="AC10" s="6" t="s">
        <v>37</v>
      </c>
      <c r="AD10" s="6" t="s">
        <v>37</v>
      </c>
      <c r="AE10" s="6" t="s">
        <v>37</v>
      </c>
      <c r="AF10" s="6"/>
      <c r="AG10" s="6"/>
    </row>
    <row r="11" spans="1:44" x14ac:dyDescent="0.45">
      <c r="A11" s="33" t="s">
        <v>25</v>
      </c>
      <c r="B11" s="13">
        <f t="shared" si="1"/>
        <v>46</v>
      </c>
      <c r="C11" s="14" t="str" cm="1">
        <f t="array" ref="C11">GetPipePart(B$8, 3)</f>
        <v>2E</v>
      </c>
      <c r="D11" s="13">
        <f t="shared" si="2"/>
        <v>257</v>
      </c>
      <c r="E11" s="14" t="str" cm="1">
        <f t="array" ref="E11">GetPipePart(D$8, 3)</f>
        <v>101</v>
      </c>
      <c r="F11" s="13">
        <f t="shared" si="3"/>
        <v>315</v>
      </c>
      <c r="G11" s="14" t="str" cm="1">
        <f t="array" ref="G11">GetPipePart(F$8, 3)</f>
        <v>13B</v>
      </c>
      <c r="I11" s="13">
        <f t="shared" si="4"/>
        <v>468</v>
      </c>
      <c r="J11" s="14" t="str" cm="1">
        <f t="array" ref="J11">GetPipePart(I$8, 3)</f>
        <v>1D4</v>
      </c>
      <c r="L11" s="2">
        <v>7</v>
      </c>
      <c r="M11" s="8">
        <f t="shared" si="0"/>
        <v>128</v>
      </c>
      <c r="N11" s="8"/>
      <c r="O11" s="1"/>
      <c r="R11" s="6"/>
    </row>
    <row r="12" spans="1:44" x14ac:dyDescent="0.45">
      <c r="A12" s="33"/>
      <c r="B12" s="13"/>
      <c r="C12" s="14"/>
      <c r="D12" s="13"/>
      <c r="E12" s="14"/>
      <c r="F12" s="13"/>
      <c r="G12" s="14"/>
      <c r="I12" s="13"/>
      <c r="J12" s="14"/>
      <c r="L12" s="2">
        <v>6</v>
      </c>
      <c r="M12" s="8">
        <f t="shared" si="0"/>
        <v>64</v>
      </c>
      <c r="N12" s="8"/>
      <c r="Q12" s="5"/>
    </row>
    <row r="13" spans="1:44" x14ac:dyDescent="0.45">
      <c r="A13" s="34" t="s">
        <v>20</v>
      </c>
      <c r="B13" s="86" t="str">
        <f>IF(C10="0","Denormal",IF(AND(C11="0", C10="1F"),"Infinite",IF(AND(C11&lt;&gt;"0", C10="1F"),"NaN","Normal")))</f>
        <v>Normal</v>
      </c>
      <c r="C13" s="87"/>
      <c r="D13" s="86" t="str">
        <f t="shared" ref="D13" si="5">IF(E10="0","Denormal",IF(AND(E11="0", E10="1F"),"Infinite",IF(AND(E11&lt;&gt;"0", E10="1F"),"NaN","Normal")))</f>
        <v>Normal</v>
      </c>
      <c r="E13" s="87"/>
      <c r="F13" s="86" t="str">
        <f t="shared" ref="F13:I13" si="6">IF(G10="0","Denormal",IF(AND(G11="0", G10="1F"),"Infinite",IF(AND(G11&lt;&gt;"0", G10="1F"),"NaN","Normal")))</f>
        <v>Normal</v>
      </c>
      <c r="G13" s="87"/>
      <c r="I13" s="86" t="str">
        <f t="shared" si="6"/>
        <v>Normal</v>
      </c>
      <c r="J13" s="87"/>
      <c r="L13" s="2">
        <v>5</v>
      </c>
      <c r="M13" s="8">
        <f t="shared" si="0"/>
        <v>32</v>
      </c>
      <c r="N13" s="8"/>
      <c r="P13" s="3" t="s">
        <v>39</v>
      </c>
      <c r="Q13" s="52" t="s">
        <v>37</v>
      </c>
      <c r="R13" s="53" t="s">
        <v>37</v>
      </c>
      <c r="S13" s="53" t="s">
        <v>37</v>
      </c>
      <c r="T13" s="53" t="s">
        <v>38</v>
      </c>
      <c r="U13" s="53" t="s">
        <v>37</v>
      </c>
      <c r="V13" s="53" t="s">
        <v>37</v>
      </c>
      <c r="W13" s="53" t="s">
        <v>38</v>
      </c>
      <c r="X13" s="53" t="s">
        <v>38</v>
      </c>
      <c r="Y13" s="53" t="s">
        <v>37</v>
      </c>
      <c r="Z13" s="53" t="s">
        <v>38</v>
      </c>
      <c r="AA13" s="53" t="s">
        <v>38</v>
      </c>
      <c r="AB13" s="53" t="s">
        <v>38</v>
      </c>
      <c r="AC13" s="53" t="s">
        <v>38</v>
      </c>
      <c r="AD13" s="53" t="s">
        <v>37</v>
      </c>
      <c r="AE13" s="6" t="s">
        <v>38</v>
      </c>
      <c r="AF13" s="6" t="s">
        <v>38</v>
      </c>
      <c r="AG13" s="6" t="s">
        <v>37</v>
      </c>
      <c r="AH13" s="6" t="s">
        <v>37</v>
      </c>
      <c r="AI13" s="6" t="s">
        <v>38</v>
      </c>
      <c r="AJ13" s="6" t="s">
        <v>37</v>
      </c>
      <c r="AK13" s="6" t="s">
        <v>37</v>
      </c>
      <c r="AL13" s="6" t="s">
        <v>37</v>
      </c>
    </row>
    <row r="14" spans="1:44" x14ac:dyDescent="0.45">
      <c r="A14" s="1"/>
      <c r="B14" s="1"/>
      <c r="C14" s="1"/>
      <c r="D14" s="1"/>
      <c r="E14" s="1"/>
      <c r="F14" s="1"/>
      <c r="G14" s="1"/>
      <c r="I14" s="1"/>
      <c r="J14" s="1"/>
      <c r="L14" s="2">
        <v>4</v>
      </c>
      <c r="M14" s="8">
        <f t="shared" si="0"/>
        <v>16</v>
      </c>
      <c r="N14" s="8"/>
      <c r="Q14" s="5"/>
    </row>
    <row r="15" spans="1:44" ht="17.5" customHeight="1" x14ac:dyDescent="0.45">
      <c r="A15" s="9" t="s">
        <v>30</v>
      </c>
      <c r="B15" s="79">
        <f>B10-15</f>
        <v>1</v>
      </c>
      <c r="C15" s="79"/>
      <c r="D15" s="79">
        <f t="shared" ref="D15" si="7">D10-15</f>
        <v>-1</v>
      </c>
      <c r="E15" s="79"/>
      <c r="F15" s="79">
        <f t="shared" ref="F15:I15" si="8">F10-15</f>
        <v>0</v>
      </c>
      <c r="G15" s="79"/>
      <c r="H15" s="11"/>
      <c r="I15" s="79">
        <f t="shared" si="8"/>
        <v>0</v>
      </c>
      <c r="J15" s="80"/>
      <c r="L15" s="2">
        <v>3</v>
      </c>
      <c r="M15" s="8">
        <f t="shared" si="0"/>
        <v>8</v>
      </c>
      <c r="N15" s="8"/>
      <c r="Q15" s="5"/>
    </row>
    <row r="16" spans="1:44" x14ac:dyDescent="0.45">
      <c r="A16" s="15" t="s">
        <v>26</v>
      </c>
      <c r="B16" s="83" t="str">
        <f>DEC2HEX(B15)</f>
        <v>1</v>
      </c>
      <c r="C16" s="83"/>
      <c r="D16" s="83" t="str">
        <f>DEC2HEX(D15)</f>
        <v>FFFFFFFFFF</v>
      </c>
      <c r="E16" s="83"/>
      <c r="F16" s="83" t="str">
        <f>DEC2HEX(F15)</f>
        <v>0</v>
      </c>
      <c r="G16" s="83"/>
      <c r="H16" s="17"/>
      <c r="I16" s="83" t="str">
        <f>DEC2HEX(I15)</f>
        <v>0</v>
      </c>
      <c r="J16" s="84"/>
      <c r="L16" s="2">
        <v>2</v>
      </c>
      <c r="M16" s="8">
        <f t="shared" si="0"/>
        <v>4</v>
      </c>
      <c r="N16" s="8"/>
      <c r="Q16" s="5"/>
    </row>
    <row r="17" spans="1:30" x14ac:dyDescent="0.45">
      <c r="A17" s="1"/>
      <c r="B17" s="1"/>
      <c r="C17" s="1"/>
      <c r="D17" s="1"/>
      <c r="E17" s="1"/>
      <c r="F17" s="1"/>
      <c r="G17" s="1"/>
      <c r="I17" s="1"/>
      <c r="J17" s="1"/>
      <c r="L17" s="2">
        <v>1</v>
      </c>
      <c r="M17" s="8">
        <f t="shared" si="0"/>
        <v>2</v>
      </c>
      <c r="N17" s="8"/>
      <c r="Q17" s="5"/>
    </row>
    <row r="18" spans="1:30" x14ac:dyDescent="0.45">
      <c r="A18" s="50" t="s">
        <v>33</v>
      </c>
      <c r="B18" s="51"/>
      <c r="C18" s="51"/>
      <c r="D18" s="113">
        <v>15</v>
      </c>
      <c r="E18" s="114"/>
      <c r="F18" s="1"/>
      <c r="G18" s="1"/>
      <c r="I18" s="1"/>
      <c r="J18" s="1"/>
      <c r="L18" s="2">
        <v>0</v>
      </c>
      <c r="M18" s="8">
        <f t="shared" si="0"/>
        <v>1</v>
      </c>
      <c r="N18" s="8"/>
      <c r="Q18" s="5"/>
    </row>
    <row r="19" spans="1:30" x14ac:dyDescent="0.45">
      <c r="A19" s="1"/>
      <c r="B19" s="1"/>
      <c r="C19" s="1"/>
      <c r="D19" s="1"/>
      <c r="E19" s="1"/>
      <c r="F19" s="1"/>
      <c r="G19" s="1"/>
      <c r="I19" s="1"/>
      <c r="J19" s="1"/>
      <c r="L19" s="2">
        <v>-1</v>
      </c>
      <c r="M19" s="8">
        <f t="shared" si="0"/>
        <v>0.5</v>
      </c>
      <c r="N19" s="8"/>
      <c r="Q19" s="5" t="s">
        <v>37</v>
      </c>
      <c r="R19" s="6" t="s">
        <v>37</v>
      </c>
      <c r="S19" s="5" t="s">
        <v>37</v>
      </c>
      <c r="T19" s="6" t="s">
        <v>37</v>
      </c>
      <c r="U19" s="6" t="s">
        <v>37</v>
      </c>
      <c r="V19" s="6" t="s">
        <v>38</v>
      </c>
      <c r="W19" s="6" t="s">
        <v>37</v>
      </c>
      <c r="X19" s="6" t="s">
        <v>37</v>
      </c>
      <c r="Y19" s="6" t="s">
        <v>38</v>
      </c>
      <c r="Z19" s="6" t="s">
        <v>38</v>
      </c>
      <c r="AA19" s="6" t="s">
        <v>37</v>
      </c>
      <c r="AB19" s="6" t="s">
        <v>38</v>
      </c>
      <c r="AC19" s="6" t="s">
        <v>38</v>
      </c>
      <c r="AD19" s="6" t="s">
        <v>38</v>
      </c>
    </row>
    <row r="20" spans="1:30" x14ac:dyDescent="0.45">
      <c r="A20" s="48" t="s">
        <v>34</v>
      </c>
      <c r="B20" s="111"/>
      <c r="C20" s="111"/>
      <c r="D20" s="111">
        <f>B10+D10-D18</f>
        <v>15</v>
      </c>
      <c r="E20" s="112"/>
      <c r="F20" s="1"/>
      <c r="G20" s="1"/>
      <c r="I20" s="1"/>
      <c r="L20" s="2">
        <v>-2</v>
      </c>
      <c r="M20" s="8">
        <f t="shared" si="0"/>
        <v>0.25</v>
      </c>
      <c r="N20" s="8"/>
      <c r="Q20" s="5"/>
    </row>
    <row r="21" spans="1:30" x14ac:dyDescent="0.45">
      <c r="A21" s="49" t="s">
        <v>26</v>
      </c>
      <c r="B21" s="109"/>
      <c r="C21" s="109"/>
      <c r="D21" s="109" t="str">
        <f>DEC2HEX(D20)</f>
        <v>F</v>
      </c>
      <c r="E21" s="110"/>
      <c r="F21" s="1"/>
      <c r="G21" s="1"/>
      <c r="I21" s="1"/>
      <c r="L21" s="2">
        <v>-3</v>
      </c>
      <c r="M21" s="8">
        <f t="shared" si="0"/>
        <v>0.125</v>
      </c>
      <c r="N21" s="8"/>
      <c r="Q21" s="5"/>
    </row>
    <row r="22" spans="1:30" x14ac:dyDescent="0.45">
      <c r="A22" s="1"/>
      <c r="B22" s="7"/>
      <c r="L22" s="2">
        <v>-4</v>
      </c>
      <c r="M22" s="8">
        <f t="shared" si="0"/>
        <v>6.25E-2</v>
      </c>
      <c r="N22" s="8"/>
      <c r="P22" s="1"/>
      <c r="Q22" s="5"/>
    </row>
    <row r="23" spans="1:30" ht="17.5" customHeight="1" x14ac:dyDescent="0.45">
      <c r="A23" s="36" t="s">
        <v>3</v>
      </c>
      <c r="B23" s="97" t="str" cm="1">
        <f t="array" ref="B23">CutBinaryIgnoreSpaces(B7, 3, 1, 10)</f>
        <v>0000101110</v>
      </c>
      <c r="C23" s="97"/>
      <c r="D23" s="97" t="str" cm="1">
        <f t="array" ref="D23">CutBinaryIgnoreSpaces(D7, 3, 1, 10)</f>
        <v>0100000001</v>
      </c>
      <c r="E23" s="97"/>
      <c r="F23" s="97" t="str" cm="1">
        <f t="array" ref="F23">CutBinaryIgnoreSpaces(F7, 3, 1, 10)</f>
        <v>0100111011</v>
      </c>
      <c r="G23" s="97"/>
      <c r="H23" s="37"/>
      <c r="I23" s="97" t="str" cm="1">
        <f t="array" ref="I23">CutBinaryIgnoreSpaces(I7, 3, 1, 10)</f>
        <v>0111010100</v>
      </c>
      <c r="J23" s="98"/>
      <c r="L23" s="2">
        <v>-5</v>
      </c>
      <c r="M23" s="8">
        <f t="shared" si="0"/>
        <v>3.125E-2</v>
      </c>
      <c r="N23" s="8"/>
      <c r="Q23" s="5"/>
    </row>
    <row r="24" spans="1:30" ht="17.5" customHeight="1" x14ac:dyDescent="0.45">
      <c r="A24" s="38"/>
      <c r="B24" s="99" t="str" cm="1">
        <f t="array" ref="B24">InsertSpaceEvery4Chars(B23)</f>
        <v>00 0010 1110</v>
      </c>
      <c r="C24" s="99"/>
      <c r="D24" s="99" t="str" cm="1">
        <f t="array" ref="D24">InsertSpaceEvery4Chars(D23)</f>
        <v>01 0000 0001</v>
      </c>
      <c r="E24" s="99"/>
      <c r="F24" s="99" t="str" cm="1">
        <f t="array" ref="F24">InsertSpaceEvery4Chars(F23)</f>
        <v>01 0011 1011</v>
      </c>
      <c r="G24" s="99"/>
      <c r="H24" s="39"/>
      <c r="I24" s="99" t="str" cm="1">
        <f t="array" ref="I24">InsertSpaceEvery4Chars(I23)</f>
        <v>01 1101 0100</v>
      </c>
      <c r="J24" s="100"/>
      <c r="L24" s="2">
        <v>-6</v>
      </c>
      <c r="M24" s="8">
        <f t="shared" si="0"/>
        <v>1.5625E-2</v>
      </c>
      <c r="N24" s="8"/>
      <c r="Q24" s="5"/>
    </row>
    <row r="25" spans="1:30" ht="17.5" customHeight="1" x14ac:dyDescent="0.45">
      <c r="A25" s="40" t="s">
        <v>21</v>
      </c>
      <c r="B25" s="101" t="str" cm="1">
        <f t="array" ref="B25">BinPartsToHex(B23)</f>
        <v>2E</v>
      </c>
      <c r="C25" s="101"/>
      <c r="D25" s="101" t="str" cm="1">
        <f t="array" ref="D25">BinPartsToHex(D23)</f>
        <v>101</v>
      </c>
      <c r="E25" s="101"/>
      <c r="F25" s="101" t="str" cm="1">
        <f t="array" ref="F25">BinPartsToHex(F23)</f>
        <v>13B</v>
      </c>
      <c r="G25" s="101"/>
      <c r="H25" s="41"/>
      <c r="I25" s="101" t="str" cm="1">
        <f t="array" ref="I25">BinPartsToHex(I23)</f>
        <v>1D4</v>
      </c>
      <c r="J25" s="102"/>
      <c r="L25" s="2">
        <v>-7</v>
      </c>
      <c r="M25" s="8">
        <f t="shared" ref="M25:M27" si="9">2^(L25)</f>
        <v>7.8125E-3</v>
      </c>
      <c r="N25" s="8"/>
      <c r="Q25" s="5"/>
    </row>
    <row r="26" spans="1:30" ht="17.5" customHeight="1" x14ac:dyDescent="0.45">
      <c r="A26" s="1"/>
      <c r="B26" s="1"/>
      <c r="C26" s="1"/>
      <c r="D26" s="1"/>
      <c r="E26" s="1"/>
      <c r="F26" s="1"/>
      <c r="G26" s="1"/>
      <c r="I26" s="1"/>
      <c r="J26" s="1"/>
      <c r="L26" s="2">
        <v>-8</v>
      </c>
      <c r="M26" s="8">
        <f t="shared" si="9"/>
        <v>3.90625E-3</v>
      </c>
      <c r="N26" s="8"/>
      <c r="Q26" s="5"/>
    </row>
    <row r="27" spans="1:30" ht="17.5" customHeight="1" x14ac:dyDescent="0.45">
      <c r="A27" s="42" t="s">
        <v>10</v>
      </c>
      <c r="B27" s="103" t="str" cm="1">
        <f t="array" ref="B27">IF(B10&lt;&gt;0, AddOneToLeftOfBinary(B23), "0"&amp;B23)</f>
        <v>10000101110</v>
      </c>
      <c r="C27" s="103"/>
      <c r="D27" s="103" t="str" cm="1">
        <f t="array" ref="D27">IF(D10&lt;&gt;0, AddOneToLeftOfBinary(D23), "0"&amp;D23)</f>
        <v>10100000001</v>
      </c>
      <c r="E27" s="103"/>
      <c r="F27" s="103" t="str" cm="1">
        <f t="array" ref="F27">IF(F10&lt;&gt;0, AddOneToLeftOfBinary(F23), "0"&amp;F23)</f>
        <v>10100111011</v>
      </c>
      <c r="G27" s="103"/>
      <c r="H27" s="43"/>
      <c r="I27" s="103" t="str" cm="1">
        <f t="array" ref="I27">IF(I10&lt;&gt;0, AddOneToLeftOfBinary(I23), "0"&amp;I23)</f>
        <v>10111010100</v>
      </c>
      <c r="J27" s="104"/>
      <c r="L27" s="2">
        <v>-9</v>
      </c>
      <c r="M27" s="8">
        <f t="shared" si="9"/>
        <v>1.953125E-3</v>
      </c>
      <c r="N27" s="8"/>
    </row>
    <row r="28" spans="1:30" ht="17.5" customHeight="1" x14ac:dyDescent="0.45">
      <c r="A28" s="44"/>
      <c r="B28" s="105" t="str" cm="1">
        <f t="array" ref="B28">InsertSpaceEvery4Chars(B27)</f>
        <v>100 0010 1110</v>
      </c>
      <c r="C28" s="105"/>
      <c r="D28" s="105" t="str" cm="1">
        <f t="array" ref="D28">InsertSpaceEvery4Chars(D27)</f>
        <v>101 0000 0001</v>
      </c>
      <c r="E28" s="105"/>
      <c r="F28" s="105" t="str" cm="1">
        <f t="array" ref="F28">InsertSpaceEvery4Chars(F27)</f>
        <v>101 0011 1011</v>
      </c>
      <c r="G28" s="105"/>
      <c r="H28" s="45"/>
      <c r="I28" s="105" t="str" cm="1">
        <f t="array" ref="I28">InsertSpaceEvery4Chars(I27)</f>
        <v>101 1101 0100</v>
      </c>
      <c r="J28" s="106"/>
      <c r="L28" s="2">
        <v>-10</v>
      </c>
      <c r="M28" s="8">
        <f t="shared" ref="M28:M42" si="10">2^(L28)</f>
        <v>9.765625E-4</v>
      </c>
      <c r="N28" s="8"/>
      <c r="P28" s="1"/>
    </row>
    <row r="29" spans="1:30" ht="17.5" customHeight="1" x14ac:dyDescent="0.45">
      <c r="A29" s="46" t="s">
        <v>21</v>
      </c>
      <c r="B29" s="107" t="str" cm="1">
        <f t="array" ref="B29">BinPartsToHex(B27)</f>
        <v>42E</v>
      </c>
      <c r="C29" s="107"/>
      <c r="D29" s="107" t="str" cm="1">
        <f t="array" ref="D29">BinPartsToHex(D27)</f>
        <v>501</v>
      </c>
      <c r="E29" s="107"/>
      <c r="F29" s="107" t="str" cm="1">
        <f t="array" ref="F29">BinPartsToHex(F27)</f>
        <v>53B</v>
      </c>
      <c r="G29" s="107"/>
      <c r="H29" s="47"/>
      <c r="I29" s="107" t="str" cm="1">
        <f t="array" ref="I29">BinPartsToHex(I27)</f>
        <v>5D4</v>
      </c>
      <c r="J29" s="108"/>
      <c r="L29" s="2">
        <v>-11</v>
      </c>
      <c r="M29" s="8">
        <f t="shared" si="10"/>
        <v>4.8828125E-4</v>
      </c>
      <c r="N29" s="8"/>
    </row>
    <row r="30" spans="1:30" x14ac:dyDescent="0.45">
      <c r="A30" s="1"/>
      <c r="I30" s="1"/>
      <c r="L30" s="2">
        <v>-12</v>
      </c>
      <c r="M30" s="8">
        <f t="shared" si="10"/>
        <v>2.44140625E-4</v>
      </c>
      <c r="N30" s="8"/>
      <c r="Q30" s="5"/>
    </row>
    <row r="31" spans="1:30" x14ac:dyDescent="0.45">
      <c r="A31" s="42" t="s">
        <v>35</v>
      </c>
      <c r="B31" s="103" t="str" cm="1">
        <f t="array" ref="B31">MultiplyBinaryN(B27,D27, 22)</f>
        <v>0101001110101000101110</v>
      </c>
      <c r="C31" s="103"/>
      <c r="D31" s="103"/>
      <c r="E31" s="104"/>
      <c r="F31" s="1"/>
      <c r="G31" s="1"/>
      <c r="L31" s="2">
        <v>-13</v>
      </c>
      <c r="M31" s="8">
        <f t="shared" si="10"/>
        <v>1.220703125E-4</v>
      </c>
      <c r="N31" s="8"/>
    </row>
    <row r="32" spans="1:30" x14ac:dyDescent="0.45">
      <c r="A32" s="44"/>
      <c r="B32" s="105" t="str" cm="1">
        <f t="array" ref="B32">InsertSpaceEvery4Chars(B31)</f>
        <v>01 0100 1110 1010 0010 1110</v>
      </c>
      <c r="C32" s="105"/>
      <c r="D32" s="105"/>
      <c r="E32" s="106"/>
      <c r="F32" s="1"/>
      <c r="G32" s="1"/>
      <c r="L32" s="2">
        <v>-14</v>
      </c>
      <c r="M32" s="8">
        <f t="shared" si="10"/>
        <v>6.103515625E-5</v>
      </c>
      <c r="N32" s="8"/>
    </row>
    <row r="33" spans="1:14" x14ac:dyDescent="0.45">
      <c r="A33" s="46" t="s">
        <v>21</v>
      </c>
      <c r="B33" s="107" t="str" cm="1">
        <f t="array" ref="B33">BinPartsToHex(B32)</f>
        <v>14EA2E</v>
      </c>
      <c r="C33" s="107"/>
      <c r="D33" s="107"/>
      <c r="E33" s="108"/>
      <c r="F33" s="1"/>
      <c r="G33" s="1"/>
      <c r="L33" s="2">
        <v>-15</v>
      </c>
      <c r="M33" s="8">
        <f t="shared" si="10"/>
        <v>3.0517578125E-5</v>
      </c>
      <c r="N33" s="8"/>
    </row>
    <row r="34" spans="1:14" x14ac:dyDescent="0.45">
      <c r="A34" s="1"/>
      <c r="C34" s="1"/>
      <c r="D34" s="1"/>
      <c r="E34" s="1"/>
      <c r="F34" s="1"/>
      <c r="G34" s="1"/>
      <c r="L34" s="2">
        <v>-16</v>
      </c>
      <c r="M34" s="8">
        <f t="shared" si="10"/>
        <v>1.52587890625E-5</v>
      </c>
      <c r="N34" s="8"/>
    </row>
    <row r="35" spans="1:14" x14ac:dyDescent="0.45">
      <c r="A35" s="28" t="s">
        <v>47</v>
      </c>
      <c r="B35" s="29"/>
      <c r="C35" s="29"/>
      <c r="D35" s="35"/>
      <c r="E35" s="30" cm="1">
        <f t="array" ref="E35">FindFirstOnePosition(B31)-1</f>
        <v>1</v>
      </c>
      <c r="L35" s="2">
        <v>-17</v>
      </c>
      <c r="M35" s="8">
        <f t="shared" si="10"/>
        <v>7.62939453125E-6</v>
      </c>
      <c r="N35" s="8"/>
    </row>
    <row r="36" spans="1:14" x14ac:dyDescent="0.45">
      <c r="A36" s="1"/>
      <c r="C36" s="1"/>
      <c r="D36" s="1"/>
      <c r="I36" s="2" t="s">
        <v>21</v>
      </c>
      <c r="J36" s="1" t="s">
        <v>76</v>
      </c>
      <c r="L36" s="2">
        <v>-18</v>
      </c>
      <c r="M36" s="8">
        <f t="shared" si="10"/>
        <v>3.814697265625E-6</v>
      </c>
      <c r="N36" s="8"/>
    </row>
    <row r="37" spans="1:14" ht="17.5" customHeight="1" x14ac:dyDescent="0.45">
      <c r="A37" s="9" t="s">
        <v>16</v>
      </c>
      <c r="B37" s="79" t="str">
        <f>MID(B31, 1, 14)</f>
        <v>01010011101010</v>
      </c>
      <c r="C37" s="79"/>
      <c r="D37" s="79"/>
      <c r="E37" s="80"/>
      <c r="J37" s="1" t="str" cm="1">
        <f t="array" ref="J37">(MY_HEX2BIN(J36))</f>
        <v>11111011</v>
      </c>
      <c r="L37" s="2">
        <v>-19</v>
      </c>
      <c r="M37" s="8">
        <f t="shared" si="10"/>
        <v>1.9073486328125E-6</v>
      </c>
      <c r="N37" s="8"/>
    </row>
    <row r="38" spans="1:14" ht="17.5" customHeight="1" x14ac:dyDescent="0.45">
      <c r="A38" s="13"/>
      <c r="B38" s="81" t="str" cm="1">
        <f t="array" ref="B38">InsertSpaceEvery4Chars(B37)</f>
        <v>01 0100 1110 1010</v>
      </c>
      <c r="C38" s="81"/>
      <c r="D38" s="81"/>
      <c r="E38" s="82"/>
      <c r="J38" s="1" t="str" cm="1">
        <f t="array" ref="J38">InsertSpaceEvery4Chars(J37)</f>
        <v>1111 1011</v>
      </c>
      <c r="L38" s="2">
        <v>-20</v>
      </c>
      <c r="M38" s="8">
        <f t="shared" si="10"/>
        <v>9.5367431640625E-7</v>
      </c>
      <c r="N38" s="8"/>
    </row>
    <row r="39" spans="1:14" ht="17.5" customHeight="1" x14ac:dyDescent="0.45">
      <c r="A39" s="15" t="s">
        <v>21</v>
      </c>
      <c r="B39" s="83" t="str" cm="1">
        <f t="array" ref="B39">BinPartsToHex(B38)</f>
        <v>14EA</v>
      </c>
      <c r="C39" s="83"/>
      <c r="D39" s="83"/>
      <c r="E39" s="84"/>
      <c r="H39" s="2" t="s">
        <v>32</v>
      </c>
      <c r="L39" s="2">
        <v>-21</v>
      </c>
      <c r="M39" s="8">
        <f t="shared" si="10"/>
        <v>4.76837158203125E-7</v>
      </c>
      <c r="N39" s="8"/>
    </row>
    <row r="40" spans="1:14" x14ac:dyDescent="0.45">
      <c r="A40" s="1"/>
      <c r="L40" s="2">
        <v>-22</v>
      </c>
      <c r="M40" s="8">
        <f t="shared" si="10"/>
        <v>2.384185791015625E-7</v>
      </c>
    </row>
    <row r="41" spans="1:14" x14ac:dyDescent="0.45">
      <c r="A41" s="9" t="s">
        <v>12</v>
      </c>
      <c r="B41" s="25"/>
      <c r="C41" s="10"/>
      <c r="D41" s="11"/>
      <c r="E41" s="12" t="str">
        <f>MID(RIGHT(B37, 4), 1, 1)</f>
        <v>1</v>
      </c>
      <c r="L41" s="2">
        <v>-23</v>
      </c>
      <c r="M41" s="8">
        <f t="shared" si="10"/>
        <v>1.1920928955078125E-7</v>
      </c>
    </row>
    <row r="42" spans="1:14" x14ac:dyDescent="0.45">
      <c r="A42" s="13" t="s">
        <v>7</v>
      </c>
      <c r="B42" s="26"/>
      <c r="C42" s="1"/>
      <c r="D42" s="1"/>
      <c r="E42" s="14" t="str">
        <f>MID(RIGHT(B37, 3), 1, 1)</f>
        <v>0</v>
      </c>
      <c r="L42" s="2">
        <v>-24</v>
      </c>
      <c r="M42" s="8">
        <f t="shared" si="10"/>
        <v>5.9604644775390625E-8</v>
      </c>
    </row>
    <row r="43" spans="1:14" x14ac:dyDescent="0.45">
      <c r="A43" s="13" t="s">
        <v>8</v>
      </c>
      <c r="B43" s="26"/>
      <c r="C43" s="1"/>
      <c r="D43" s="1"/>
      <c r="E43" s="14" t="str">
        <f>MID(RIGHT(B37, 2), 1, 1)</f>
        <v>1</v>
      </c>
    </row>
    <row r="44" spans="1:14" x14ac:dyDescent="0.45">
      <c r="A44" s="15" t="s">
        <v>9</v>
      </c>
      <c r="B44" s="27"/>
      <c r="C44" s="16"/>
      <c r="D44" s="16"/>
      <c r="E44" s="18" t="str">
        <f>MID(RIGHT(B37, 1), 1, 1)</f>
        <v>0</v>
      </c>
    </row>
    <row r="45" spans="1:14" x14ac:dyDescent="0.45">
      <c r="A45" s="1"/>
    </row>
    <row r="46" spans="1:14" x14ac:dyDescent="0.45">
      <c r="A46" s="9" t="s">
        <v>22</v>
      </c>
      <c r="B46" s="11"/>
      <c r="C46" s="10"/>
      <c r="D46" s="10"/>
      <c r="E46" s="12" t="str" cm="1">
        <f t="array" ref="E46">AlignBitsBin(B37,E41,E42,E43,E44)</f>
        <v>01010011101</v>
      </c>
    </row>
    <row r="47" spans="1:14" x14ac:dyDescent="0.45">
      <c r="A47" s="31"/>
      <c r="C47" s="1"/>
      <c r="D47" s="1"/>
      <c r="E47" s="14" t="str" cm="1">
        <f t="array" ref="E47">InsertSpaceEvery4Chars(E46)</f>
        <v>010 1001 1101</v>
      </c>
    </row>
    <row r="48" spans="1:14" x14ac:dyDescent="0.45">
      <c r="A48" s="15" t="s">
        <v>21</v>
      </c>
      <c r="B48" s="17"/>
      <c r="C48" s="16"/>
      <c r="D48" s="16"/>
      <c r="E48" s="18" t="str" cm="1">
        <f t="array" ref="E48">BinPartsToHex(E47)</f>
        <v>29D</v>
      </c>
    </row>
    <row r="50" spans="5:5" x14ac:dyDescent="0.45">
      <c r="E50" s="1"/>
    </row>
  </sheetData>
  <mergeCells count="79">
    <mergeCell ref="B31:E31"/>
    <mergeCell ref="B32:E32"/>
    <mergeCell ref="B33:E33"/>
    <mergeCell ref="B39:E39"/>
    <mergeCell ref="D18:E18"/>
    <mergeCell ref="B38:E38"/>
    <mergeCell ref="B25:C25"/>
    <mergeCell ref="D25:E25"/>
    <mergeCell ref="D27:E27"/>
    <mergeCell ref="I16:J16"/>
    <mergeCell ref="F16:G16"/>
    <mergeCell ref="B20:C20"/>
    <mergeCell ref="D20:E20"/>
    <mergeCell ref="B37:E37"/>
    <mergeCell ref="B28:C28"/>
    <mergeCell ref="D28:E28"/>
    <mergeCell ref="F28:G28"/>
    <mergeCell ref="I28:J28"/>
    <mergeCell ref="B29:C29"/>
    <mergeCell ref="D29:E29"/>
    <mergeCell ref="F29:G29"/>
    <mergeCell ref="I29:J29"/>
    <mergeCell ref="F25:G25"/>
    <mergeCell ref="I25:J25"/>
    <mergeCell ref="B27:C27"/>
    <mergeCell ref="F27:G27"/>
    <mergeCell ref="I27:J27"/>
    <mergeCell ref="F23:G23"/>
    <mergeCell ref="I23:J23"/>
    <mergeCell ref="B24:C24"/>
    <mergeCell ref="D24:E24"/>
    <mergeCell ref="F24:G24"/>
    <mergeCell ref="I24:J24"/>
    <mergeCell ref="B16:C16"/>
    <mergeCell ref="D16:E16"/>
    <mergeCell ref="B21:C21"/>
    <mergeCell ref="D21:E21"/>
    <mergeCell ref="B23:C23"/>
    <mergeCell ref="D23:E23"/>
    <mergeCell ref="B13:C13"/>
    <mergeCell ref="D13:E13"/>
    <mergeCell ref="F13:G13"/>
    <mergeCell ref="I13:J13"/>
    <mergeCell ref="B15:C15"/>
    <mergeCell ref="D15:E15"/>
    <mergeCell ref="F15:G15"/>
    <mergeCell ref="I15:J15"/>
    <mergeCell ref="B7:C7"/>
    <mergeCell ref="D7:E7"/>
    <mergeCell ref="F7:G7"/>
    <mergeCell ref="I7:J7"/>
    <mergeCell ref="B8:C8"/>
    <mergeCell ref="D8:E8"/>
    <mergeCell ref="F8:G8"/>
    <mergeCell ref="I8:J8"/>
    <mergeCell ref="B5:C5"/>
    <mergeCell ref="D5:E5"/>
    <mergeCell ref="F5:G5"/>
    <mergeCell ref="I5:J5"/>
    <mergeCell ref="B6:C6"/>
    <mergeCell ref="D6:E6"/>
    <mergeCell ref="F6:G6"/>
    <mergeCell ref="I6:J6"/>
    <mergeCell ref="B3:C3"/>
    <mergeCell ref="D3:E3"/>
    <mergeCell ref="F3:G3"/>
    <mergeCell ref="I3:J3"/>
    <mergeCell ref="B4:C4"/>
    <mergeCell ref="D4:E4"/>
    <mergeCell ref="F4:G4"/>
    <mergeCell ref="I4:J4"/>
    <mergeCell ref="B1:C1"/>
    <mergeCell ref="D1:E1"/>
    <mergeCell ref="F1:G1"/>
    <mergeCell ref="I1:J1"/>
    <mergeCell ref="B2:C2"/>
    <mergeCell ref="D2:E2"/>
    <mergeCell ref="F2:G2"/>
    <mergeCell ref="I2:J2"/>
  </mergeCells>
  <phoneticPr fontId="1" type="noConversion"/>
  <conditionalFormatting sqref="B13:G13">
    <cfRule type="cellIs" dxfId="17" priority="5" operator="equal">
      <formula>"NaN"</formula>
    </cfRule>
    <cfRule type="cellIs" dxfId="16" priority="6" operator="equal">
      <formula>"Denormal"</formula>
    </cfRule>
  </conditionalFormatting>
  <conditionalFormatting sqref="B13:G13">
    <cfRule type="cellIs" dxfId="15" priority="4" operator="equal">
      <formula>"Infinite"</formula>
    </cfRule>
  </conditionalFormatting>
  <conditionalFormatting sqref="I13:J13">
    <cfRule type="cellIs" dxfId="14" priority="2" operator="equal">
      <formula>"NaN"</formula>
    </cfRule>
    <cfRule type="cellIs" dxfId="13" priority="3" operator="equal">
      <formula>"Denormal"</formula>
    </cfRule>
  </conditionalFormatting>
  <conditionalFormatting sqref="I13:J13">
    <cfRule type="cellIs" dxfId="12" priority="1" operator="equal">
      <formula>"Infinite"</formula>
    </cfRule>
  </conditionalFormatting>
  <pageMargins left="0.7" right="0.7" top="0.75" bottom="0.75" header="0.3" footer="0.3"/>
  <pageSetup paperSize="9" orientation="portrait" r:id="rId1"/>
  <ignoredErrors>
    <ignoredError sqref="P5 Q5:AL5 Q10:AE10 P13:AL13 Q19:R19" numberStoredAsText="1"/>
    <ignoredError sqref="C9:C11 E9:E11 D9:D11 F9:F11" formula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157966-3B97-4F8E-A533-C4C386DEEC91}">
  <sheetPr codeName="Sheet8"/>
  <dimension ref="A1:AR50"/>
  <sheetViews>
    <sheetView showGridLines="0" zoomScaleNormal="100" workbookViewId="0">
      <selection activeCell="F3" sqref="F3:G3"/>
    </sheetView>
  </sheetViews>
  <sheetFormatPr defaultRowHeight="15.5" x14ac:dyDescent="0.45"/>
  <cols>
    <col min="1" max="1" width="36.61328125" style="2" customWidth="1"/>
    <col min="2" max="8" width="12.07421875" style="2" customWidth="1"/>
    <col min="9" max="10" width="12.15234375" style="2" customWidth="1"/>
    <col min="11" max="11" width="8.3046875" style="2" customWidth="1"/>
    <col min="12" max="12" width="4.3046875" style="2" customWidth="1"/>
    <col min="13" max="13" width="17.3046875" style="2" customWidth="1"/>
    <col min="14" max="14" width="7.53515625" style="2" customWidth="1"/>
    <col min="15" max="15" width="7.3046875" style="2" customWidth="1"/>
    <col min="16" max="16" width="21.07421875" style="3" customWidth="1"/>
    <col min="17" max="17" width="3.23046875" style="3" customWidth="1"/>
    <col min="18" max="18" width="3.23046875" style="1" customWidth="1"/>
    <col min="19" max="52" width="3.23046875" style="2" customWidth="1"/>
    <col min="53" max="16384" width="9.23046875" style="2"/>
  </cols>
  <sheetData>
    <row r="1" spans="1:44" ht="17.5" customHeight="1" x14ac:dyDescent="0.45">
      <c r="B1" s="93" t="s">
        <v>4</v>
      </c>
      <c r="C1" s="93"/>
      <c r="D1" s="94" t="s">
        <v>5</v>
      </c>
      <c r="E1" s="94"/>
      <c r="F1" s="88" t="s">
        <v>31</v>
      </c>
      <c r="G1" s="88"/>
      <c r="I1" s="88" t="s">
        <v>18</v>
      </c>
      <c r="J1" s="88"/>
    </row>
    <row r="2" spans="1:44" ht="17.5" customHeight="1" x14ac:dyDescent="0.45">
      <c r="A2" s="32" t="s">
        <v>0</v>
      </c>
      <c r="B2" s="89" t="s">
        <v>92</v>
      </c>
      <c r="C2" s="90"/>
      <c r="D2" s="89" t="s">
        <v>93</v>
      </c>
      <c r="E2" s="90"/>
      <c r="F2" s="89" t="s">
        <v>95</v>
      </c>
      <c r="G2" s="90"/>
      <c r="I2" s="89" t="s">
        <v>90</v>
      </c>
      <c r="J2" s="90"/>
      <c r="L2" s="2">
        <v>16</v>
      </c>
      <c r="M2" s="8">
        <f t="shared" ref="M2:M42" si="0">2^(L2)</f>
        <v>65536</v>
      </c>
      <c r="N2" s="8"/>
    </row>
    <row r="3" spans="1:44" ht="17.5" customHeight="1" x14ac:dyDescent="0.45">
      <c r="A3" s="33" t="s">
        <v>19</v>
      </c>
      <c r="B3" s="91" cm="1">
        <f t="array" ref="B3">FP16HexToDecimal(B2)</f>
        <v>1.2314319610595703E-4</v>
      </c>
      <c r="C3" s="92"/>
      <c r="D3" s="91" cm="1">
        <f t="array" ref="D3">FP16HexToDecimal(D2)</f>
        <v>-7.80029296875E-2</v>
      </c>
      <c r="E3" s="92"/>
      <c r="F3" s="91" cm="1">
        <f t="array" ref="F3">FP16HexToDecimal(F2)</f>
        <v>-9.5963478088378906E-6</v>
      </c>
      <c r="G3" s="92"/>
      <c r="H3" s="1"/>
      <c r="I3" s="91" cm="1">
        <f t="array" ref="I3">FP16HexToDecimal(I2)</f>
        <v>1.306640625</v>
      </c>
      <c r="J3" s="92"/>
      <c r="L3" s="2">
        <v>15</v>
      </c>
      <c r="M3" s="8">
        <f t="shared" si="0"/>
        <v>32768</v>
      </c>
      <c r="N3" s="8"/>
    </row>
    <row r="4" spans="1:44" ht="17.5" customHeight="1" x14ac:dyDescent="0.45">
      <c r="A4" s="33" t="s">
        <v>28</v>
      </c>
      <c r="B4" s="91">
        <f>2^(B15-9)</f>
        <v>2.384185791015625E-7</v>
      </c>
      <c r="C4" s="92"/>
      <c r="D4" s="91">
        <f>2^(D15-9)</f>
        <v>1.220703125E-4</v>
      </c>
      <c r="E4" s="92"/>
      <c r="F4" s="91">
        <f>2^(F15-9)</f>
        <v>5.9604644775390625E-8</v>
      </c>
      <c r="G4" s="92"/>
      <c r="H4" s="1"/>
      <c r="I4" s="91">
        <f>2^(I15-9)</f>
        <v>1.953125E-3</v>
      </c>
      <c r="J4" s="92"/>
      <c r="L4" s="2">
        <v>14</v>
      </c>
      <c r="M4" s="8">
        <f t="shared" si="0"/>
        <v>16384</v>
      </c>
      <c r="N4" s="8"/>
      <c r="R4" s="5"/>
      <c r="S4" s="6"/>
      <c r="T4" s="6"/>
      <c r="U4" s="6"/>
      <c r="V4" s="6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</row>
    <row r="5" spans="1:44" ht="17.5" customHeight="1" x14ac:dyDescent="0.45">
      <c r="A5" s="33" t="s">
        <v>1</v>
      </c>
      <c r="B5" s="85" t="str" cm="1">
        <f t="array" ref="B5">(MY_HEX2BIN(B2))</f>
        <v>0000100000001001</v>
      </c>
      <c r="C5" s="82"/>
      <c r="D5" s="85" t="str" cm="1">
        <f t="array" ref="D5">(MY_HEX2BIN(D2))</f>
        <v>1010110011111110</v>
      </c>
      <c r="E5" s="82"/>
      <c r="F5" s="85" t="str" cm="1">
        <f t="array" ref="F5">(MY_HEX2BIN(F2))</f>
        <v>1000000010100001</v>
      </c>
      <c r="G5" s="82"/>
      <c r="I5" s="85" t="str" cm="1">
        <f t="array" ref="I5">(MY_HEX2BIN(I2))</f>
        <v>0011110100111010</v>
      </c>
      <c r="J5" s="82"/>
      <c r="L5" s="2">
        <v>13</v>
      </c>
      <c r="M5" s="8">
        <f t="shared" si="0"/>
        <v>8192</v>
      </c>
      <c r="N5" s="8"/>
      <c r="P5" s="3" t="s">
        <v>36</v>
      </c>
      <c r="Q5" s="5" t="s">
        <v>37</v>
      </c>
      <c r="R5" s="6" t="s">
        <v>38</v>
      </c>
      <c r="S5" s="6" t="s">
        <v>37</v>
      </c>
      <c r="T5" s="6" t="s">
        <v>37</v>
      </c>
      <c r="U5" s="6" t="s">
        <v>38</v>
      </c>
      <c r="V5" s="6" t="s">
        <v>37</v>
      </c>
      <c r="W5" s="6" t="s">
        <v>38</v>
      </c>
      <c r="X5" s="6" t="s">
        <v>37</v>
      </c>
      <c r="Y5" s="6" t="s">
        <v>37</v>
      </c>
      <c r="Z5" s="6" t="s">
        <v>37</v>
      </c>
      <c r="AA5" s="6" t="s">
        <v>37</v>
      </c>
      <c r="AB5" s="6" t="s">
        <v>38</v>
      </c>
      <c r="AC5" s="6" t="s">
        <v>37</v>
      </c>
      <c r="AD5" s="6" t="s">
        <v>37</v>
      </c>
      <c r="AE5" s="6" t="s">
        <v>37</v>
      </c>
      <c r="AF5" s="6" t="s">
        <v>38</v>
      </c>
      <c r="AG5" s="6" t="s">
        <v>38</v>
      </c>
      <c r="AH5" s="6" t="s">
        <v>37</v>
      </c>
      <c r="AI5" s="6" t="s">
        <v>37</v>
      </c>
      <c r="AJ5" s="6" t="s">
        <v>38</v>
      </c>
      <c r="AK5" s="6" t="s">
        <v>38</v>
      </c>
      <c r="AL5" s="6" t="s">
        <v>37</v>
      </c>
    </row>
    <row r="6" spans="1:44" ht="17.5" customHeight="1" x14ac:dyDescent="0.45">
      <c r="A6" s="33"/>
      <c r="B6" s="85" t="str" cm="1">
        <f t="array" ref="B6">InsertSpaceEvery4Chars(B5)</f>
        <v>0000 1000 0000 1001</v>
      </c>
      <c r="C6" s="82"/>
      <c r="D6" s="85" t="str" cm="1">
        <f t="array" ref="D6">InsertSpaceEvery4Chars(D5)</f>
        <v>1010 1100 1111 1110</v>
      </c>
      <c r="E6" s="82"/>
      <c r="F6" s="85" t="str" cm="1">
        <f t="array" ref="F6">InsertSpaceEvery4Chars(F5)</f>
        <v>1000 0000 1010 0001</v>
      </c>
      <c r="G6" s="82"/>
      <c r="I6" s="85" t="str" cm="1">
        <f t="array" ref="I6">InsertSpaceEvery4Chars(I5)</f>
        <v>0011 1101 0011 1010</v>
      </c>
      <c r="J6" s="82"/>
      <c r="L6" s="2">
        <v>12</v>
      </c>
      <c r="M6" s="8">
        <f t="shared" si="0"/>
        <v>4096</v>
      </c>
      <c r="N6" s="8"/>
      <c r="Q6" s="5"/>
      <c r="R6" s="6"/>
      <c r="S6" s="4"/>
    </row>
    <row r="7" spans="1:44" ht="17.5" customHeight="1" x14ac:dyDescent="0.45">
      <c r="A7" s="33" t="s">
        <v>2</v>
      </c>
      <c r="B7" s="85" t="str" cm="1">
        <f t="array" ref="B7">SplitBinary(B5, 1, 6)</f>
        <v>0 | 0 0010 | 00 0000 1001</v>
      </c>
      <c r="C7" s="82"/>
      <c r="D7" s="85" t="str" cm="1">
        <f t="array" ref="D7">SplitBinary(D5, 1, 6)</f>
        <v>1 | 0 1011 | 00 1111 1110</v>
      </c>
      <c r="E7" s="82"/>
      <c r="F7" s="85" t="str" cm="1">
        <f t="array" ref="F7">SplitBinary(F5, 1, 6)</f>
        <v>1 | 0 0000 | 00 1010 0001</v>
      </c>
      <c r="G7" s="82"/>
      <c r="I7" s="85" t="str" cm="1">
        <f t="array" ref="I7">SplitBinary(I5, 1, 6)</f>
        <v>0 | 0 1111 | 01 0011 1010</v>
      </c>
      <c r="J7" s="82"/>
      <c r="L7" s="2">
        <v>11</v>
      </c>
      <c r="M7" s="8">
        <f t="shared" si="0"/>
        <v>2048</v>
      </c>
      <c r="N7" s="8"/>
      <c r="P7" s="1"/>
      <c r="Q7" s="6"/>
    </row>
    <row r="8" spans="1:44" ht="17.5" customHeight="1" x14ac:dyDescent="0.45">
      <c r="A8" s="33"/>
      <c r="B8" s="85" t="str" cm="1">
        <f t="array" ref="B8">BinPartsToHex(B7)</f>
        <v>0 | 2 | 9</v>
      </c>
      <c r="C8" s="82"/>
      <c r="D8" s="85" t="str" cm="1">
        <f t="array" ref="D8">BinPartsToHex(D7)</f>
        <v>1 | B | FE</v>
      </c>
      <c r="E8" s="82"/>
      <c r="F8" s="85" t="str" cm="1">
        <f t="array" ref="F8">BinPartsToHex(F7)</f>
        <v>1 | 0 | A1</v>
      </c>
      <c r="G8" s="82"/>
      <c r="I8" s="85" t="str" cm="1">
        <f t="array" ref="I8">BinPartsToHex(I7)</f>
        <v>0 | F | 13A</v>
      </c>
      <c r="J8" s="82"/>
      <c r="L8" s="2">
        <v>10</v>
      </c>
      <c r="M8" s="8">
        <f t="shared" si="0"/>
        <v>1024</v>
      </c>
      <c r="N8" s="8"/>
      <c r="Q8" s="5"/>
    </row>
    <row r="9" spans="1:44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1</v>
      </c>
      <c r="E9" s="14" t="str" cm="1">
        <f t="array" ref="E9">GetPipePart(D$8, 1)</f>
        <v>1</v>
      </c>
      <c r="F9" s="13">
        <f>HEX2DEC(G9)</f>
        <v>1</v>
      </c>
      <c r="G9" s="14" t="str" cm="1">
        <f t="array" ref="G9">GetPipePart(F$8, 1)</f>
        <v>1</v>
      </c>
      <c r="I9" s="13">
        <f>HEX2DEC(J9)</f>
        <v>0</v>
      </c>
      <c r="J9" s="14" t="str" cm="1">
        <f t="array" ref="J9">GetPipePart(I$8, 1)</f>
        <v>0</v>
      </c>
      <c r="L9" s="2">
        <v>9</v>
      </c>
      <c r="M9" s="8">
        <f t="shared" si="0"/>
        <v>512</v>
      </c>
      <c r="N9" s="8"/>
      <c r="O9" s="1"/>
      <c r="Q9" s="2"/>
      <c r="R9" s="2"/>
      <c r="AB9" s="5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</row>
    <row r="10" spans="1:44" x14ac:dyDescent="0.45">
      <c r="A10" s="33" t="s">
        <v>24</v>
      </c>
      <c r="B10" s="13">
        <f t="shared" ref="B10:B11" si="1">HEX2DEC(C10)</f>
        <v>2</v>
      </c>
      <c r="C10" s="14" t="str" cm="1">
        <f t="array" ref="C10">GetPipePart(B$8, 2)</f>
        <v>2</v>
      </c>
      <c r="D10" s="13">
        <f t="shared" ref="D10:D11" si="2">HEX2DEC(E10)</f>
        <v>11</v>
      </c>
      <c r="E10" s="14" t="str" cm="1">
        <f t="array" ref="E10">GetPipePart(D$8, 2)</f>
        <v>B</v>
      </c>
      <c r="F10" s="13">
        <f t="shared" ref="F10:F11" si="3">HEX2DEC(G10)</f>
        <v>0</v>
      </c>
      <c r="G10" s="14" t="str" cm="1">
        <f t="array" ref="G10">GetPipePart(F$8, 2)</f>
        <v>0</v>
      </c>
      <c r="I10" s="13">
        <f t="shared" ref="I10:I11" si="4">HEX2DEC(J10)</f>
        <v>15</v>
      </c>
      <c r="J10" s="14" t="str" cm="1">
        <f t="array" ref="J10">GetPipePart(I$8, 2)</f>
        <v>F</v>
      </c>
      <c r="L10" s="2">
        <v>8</v>
      </c>
      <c r="M10" s="8">
        <f t="shared" si="0"/>
        <v>256</v>
      </c>
      <c r="N10" s="8"/>
      <c r="P10" s="1"/>
      <c r="Q10" s="5" t="s">
        <v>37</v>
      </c>
      <c r="R10" s="6" t="s">
        <v>38</v>
      </c>
      <c r="S10" s="6" t="s">
        <v>37</v>
      </c>
      <c r="T10" s="6" t="s">
        <v>37</v>
      </c>
      <c r="U10" s="6" t="s">
        <v>38</v>
      </c>
      <c r="V10" s="6" t="s">
        <v>37</v>
      </c>
      <c r="W10" s="6" t="s">
        <v>38</v>
      </c>
      <c r="X10" s="6" t="s">
        <v>37</v>
      </c>
      <c r="Y10" s="6" t="s">
        <v>37</v>
      </c>
      <c r="Z10" s="6" t="s">
        <v>37</v>
      </c>
      <c r="AA10" s="6" t="s">
        <v>37</v>
      </c>
      <c r="AB10" s="6" t="s">
        <v>38</v>
      </c>
      <c r="AC10" s="6" t="s">
        <v>37</v>
      </c>
      <c r="AD10" s="6" t="s">
        <v>37</v>
      </c>
      <c r="AE10" s="6" t="s">
        <v>37</v>
      </c>
      <c r="AF10" s="6"/>
      <c r="AG10" s="6"/>
    </row>
    <row r="11" spans="1:44" x14ac:dyDescent="0.45">
      <c r="A11" s="33" t="s">
        <v>25</v>
      </c>
      <c r="B11" s="13">
        <f t="shared" si="1"/>
        <v>9</v>
      </c>
      <c r="C11" s="14" t="str" cm="1">
        <f t="array" ref="C11">GetPipePart(B$8, 3)</f>
        <v>9</v>
      </c>
      <c r="D11" s="13">
        <f t="shared" si="2"/>
        <v>254</v>
      </c>
      <c r="E11" s="14" t="str" cm="1">
        <f t="array" ref="E11">GetPipePart(D$8, 3)</f>
        <v>FE</v>
      </c>
      <c r="F11" s="13">
        <f t="shared" si="3"/>
        <v>161</v>
      </c>
      <c r="G11" s="14" t="str" cm="1">
        <f t="array" ref="G11">GetPipePart(F$8, 3)</f>
        <v>A1</v>
      </c>
      <c r="I11" s="13">
        <f t="shared" si="4"/>
        <v>314</v>
      </c>
      <c r="J11" s="14" t="str" cm="1">
        <f t="array" ref="J11">GetPipePart(I$8, 3)</f>
        <v>13A</v>
      </c>
      <c r="L11" s="2">
        <v>7</v>
      </c>
      <c r="M11" s="8">
        <f t="shared" si="0"/>
        <v>128</v>
      </c>
      <c r="N11" s="8"/>
      <c r="O11" s="1"/>
      <c r="R11" s="6"/>
    </row>
    <row r="12" spans="1:44" x14ac:dyDescent="0.45">
      <c r="A12" s="33"/>
      <c r="B12" s="13"/>
      <c r="C12" s="14"/>
      <c r="D12" s="13"/>
      <c r="E12" s="14"/>
      <c r="F12" s="13"/>
      <c r="G12" s="14"/>
      <c r="I12" s="13"/>
      <c r="J12" s="14"/>
      <c r="L12" s="2">
        <v>6</v>
      </c>
      <c r="M12" s="8">
        <f t="shared" si="0"/>
        <v>64</v>
      </c>
      <c r="N12" s="8"/>
      <c r="Q12" s="5"/>
    </row>
    <row r="13" spans="1:44" x14ac:dyDescent="0.45">
      <c r="A13" s="34" t="s">
        <v>20</v>
      </c>
      <c r="B13" s="86" t="str">
        <f>IF(C10="0","Denormal",IF(AND(C11="0", C10="1F"),"Infinite",IF(AND(C11&lt;&gt;"0", C10="1F"),"NaN","Normal")))</f>
        <v>Normal</v>
      </c>
      <c r="C13" s="87"/>
      <c r="D13" s="86" t="str">
        <f t="shared" ref="D13" si="5">IF(E10="0","Denormal",IF(AND(E11="0", E10="1F"),"Infinite",IF(AND(E11&lt;&gt;"0", E10="1F"),"NaN","Normal")))</f>
        <v>Normal</v>
      </c>
      <c r="E13" s="87"/>
      <c r="F13" s="86" t="str">
        <f t="shared" ref="F13:I13" si="6">IF(G10="0","Denormal",IF(AND(G11="0", G10="1F"),"Infinite",IF(AND(G11&lt;&gt;"0", G10="1F"),"NaN","Normal")))</f>
        <v>Denormal</v>
      </c>
      <c r="G13" s="87"/>
      <c r="I13" s="86" t="str">
        <f t="shared" si="6"/>
        <v>Normal</v>
      </c>
      <c r="J13" s="87"/>
      <c r="L13" s="2">
        <v>5</v>
      </c>
      <c r="M13" s="8">
        <f t="shared" si="0"/>
        <v>32</v>
      </c>
      <c r="N13" s="8"/>
      <c r="P13" s="3" t="s">
        <v>39</v>
      </c>
      <c r="Q13" s="52" t="s">
        <v>37</v>
      </c>
      <c r="R13" s="53" t="s">
        <v>37</v>
      </c>
      <c r="S13" s="53" t="s">
        <v>37</v>
      </c>
      <c r="T13" s="53" t="s">
        <v>38</v>
      </c>
      <c r="U13" s="53" t="s">
        <v>37</v>
      </c>
      <c r="V13" s="53" t="s">
        <v>37</v>
      </c>
      <c r="W13" s="53" t="s">
        <v>38</v>
      </c>
      <c r="X13" s="53" t="s">
        <v>38</v>
      </c>
      <c r="Y13" s="53" t="s">
        <v>37</v>
      </c>
      <c r="Z13" s="53" t="s">
        <v>38</v>
      </c>
      <c r="AA13" s="53" t="s">
        <v>38</v>
      </c>
      <c r="AB13" s="53" t="s">
        <v>38</v>
      </c>
      <c r="AC13" s="53" t="s">
        <v>38</v>
      </c>
      <c r="AD13" s="53" t="s">
        <v>37</v>
      </c>
      <c r="AE13" s="6" t="s">
        <v>38</v>
      </c>
      <c r="AF13" s="6" t="s">
        <v>38</v>
      </c>
      <c r="AG13" s="6" t="s">
        <v>37</v>
      </c>
      <c r="AH13" s="6" t="s">
        <v>37</v>
      </c>
      <c r="AI13" s="6" t="s">
        <v>38</v>
      </c>
      <c r="AJ13" s="6" t="s">
        <v>37</v>
      </c>
      <c r="AK13" s="6" t="s">
        <v>37</v>
      </c>
      <c r="AL13" s="6" t="s">
        <v>37</v>
      </c>
    </row>
    <row r="14" spans="1:44" x14ac:dyDescent="0.45">
      <c r="A14" s="1"/>
      <c r="B14" s="1"/>
      <c r="C14" s="1"/>
      <c r="D14" s="1"/>
      <c r="E14" s="1"/>
      <c r="F14" s="1"/>
      <c r="G14" s="1"/>
      <c r="I14" s="1"/>
      <c r="J14" s="1"/>
      <c r="L14" s="2">
        <v>4</v>
      </c>
      <c r="M14" s="8">
        <f t="shared" si="0"/>
        <v>16</v>
      </c>
      <c r="N14" s="8"/>
      <c r="Q14" s="5"/>
    </row>
    <row r="15" spans="1:44" ht="17.5" customHeight="1" x14ac:dyDescent="0.45">
      <c r="A15" s="9" t="s">
        <v>30</v>
      </c>
      <c r="B15" s="79">
        <f>B10-15</f>
        <v>-13</v>
      </c>
      <c r="C15" s="79"/>
      <c r="D15" s="79">
        <f t="shared" ref="D15" si="7">D10-15</f>
        <v>-4</v>
      </c>
      <c r="E15" s="79"/>
      <c r="F15" s="79">
        <f t="shared" ref="F15:I15" si="8">F10-15</f>
        <v>-15</v>
      </c>
      <c r="G15" s="79"/>
      <c r="H15" s="11"/>
      <c r="I15" s="79">
        <f t="shared" si="8"/>
        <v>0</v>
      </c>
      <c r="J15" s="80"/>
      <c r="L15" s="2">
        <v>3</v>
      </c>
      <c r="M15" s="8">
        <f t="shared" si="0"/>
        <v>8</v>
      </c>
      <c r="N15" s="8"/>
      <c r="Q15" s="5"/>
    </row>
    <row r="16" spans="1:44" x14ac:dyDescent="0.45">
      <c r="A16" s="15" t="s">
        <v>26</v>
      </c>
      <c r="B16" s="83" t="str">
        <f>DEC2HEX(B15)</f>
        <v>FFFFFFFFF3</v>
      </c>
      <c r="C16" s="83"/>
      <c r="D16" s="83" t="str">
        <f>DEC2HEX(D15)</f>
        <v>FFFFFFFFFC</v>
      </c>
      <c r="E16" s="83"/>
      <c r="F16" s="83" t="str">
        <f>DEC2HEX(F15)</f>
        <v>FFFFFFFFF1</v>
      </c>
      <c r="G16" s="83"/>
      <c r="H16" s="17"/>
      <c r="I16" s="83" t="str">
        <f>DEC2HEX(I15)</f>
        <v>0</v>
      </c>
      <c r="J16" s="84"/>
      <c r="L16" s="2">
        <v>2</v>
      </c>
      <c r="M16" s="8">
        <f t="shared" si="0"/>
        <v>4</v>
      </c>
      <c r="N16" s="8"/>
      <c r="Q16" s="5"/>
    </row>
    <row r="17" spans="1:30" x14ac:dyDescent="0.45">
      <c r="A17" s="1"/>
      <c r="B17" s="1"/>
      <c r="C17" s="1"/>
      <c r="D17" s="1"/>
      <c r="E17" s="1"/>
      <c r="F17" s="1"/>
      <c r="G17" s="1"/>
      <c r="I17" s="1"/>
      <c r="J17" s="1"/>
      <c r="L17" s="2">
        <v>1</v>
      </c>
      <c r="M17" s="8">
        <f t="shared" si="0"/>
        <v>2</v>
      </c>
      <c r="N17" s="8"/>
      <c r="Q17" s="5"/>
    </row>
    <row r="18" spans="1:30" x14ac:dyDescent="0.45">
      <c r="A18" s="50" t="s">
        <v>33</v>
      </c>
      <c r="B18" s="51"/>
      <c r="C18" s="51"/>
      <c r="D18" s="113">
        <v>15</v>
      </c>
      <c r="E18" s="114"/>
      <c r="F18" s="1"/>
      <c r="G18" s="1"/>
      <c r="I18" s="1"/>
      <c r="J18" s="1"/>
      <c r="L18" s="2">
        <v>0</v>
      </c>
      <c r="M18" s="8">
        <f t="shared" si="0"/>
        <v>1</v>
      </c>
      <c r="N18" s="8"/>
      <c r="Q18" s="5"/>
    </row>
    <row r="19" spans="1:30" x14ac:dyDescent="0.45">
      <c r="A19" s="1"/>
      <c r="B19" s="1"/>
      <c r="C19" s="1"/>
      <c r="D19" s="1"/>
      <c r="E19" s="1"/>
      <c r="F19" s="1"/>
      <c r="G19" s="1"/>
      <c r="I19" s="1"/>
      <c r="J19" s="1"/>
      <c r="L19" s="2">
        <v>-1</v>
      </c>
      <c r="M19" s="8">
        <f t="shared" si="0"/>
        <v>0.5</v>
      </c>
      <c r="N19" s="8"/>
      <c r="Q19" s="5" t="s">
        <v>37</v>
      </c>
      <c r="R19" s="6" t="s">
        <v>37</v>
      </c>
      <c r="S19" s="5" t="s">
        <v>37</v>
      </c>
      <c r="T19" s="6" t="s">
        <v>37</v>
      </c>
      <c r="U19" s="6" t="s">
        <v>37</v>
      </c>
      <c r="V19" s="6" t="s">
        <v>38</v>
      </c>
      <c r="W19" s="6" t="s">
        <v>37</v>
      </c>
      <c r="X19" s="6" t="s">
        <v>37</v>
      </c>
      <c r="Y19" s="6" t="s">
        <v>38</v>
      </c>
      <c r="Z19" s="6" t="s">
        <v>38</v>
      </c>
      <c r="AA19" s="6" t="s">
        <v>37</v>
      </c>
      <c r="AB19" s="6" t="s">
        <v>38</v>
      </c>
      <c r="AC19" s="6" t="s">
        <v>38</v>
      </c>
      <c r="AD19" s="6" t="s">
        <v>38</v>
      </c>
    </row>
    <row r="20" spans="1:30" x14ac:dyDescent="0.45">
      <c r="A20" s="48" t="s">
        <v>34</v>
      </c>
      <c r="B20" s="111"/>
      <c r="C20" s="111"/>
      <c r="D20" s="111">
        <f>B10+D10-D18</f>
        <v>-2</v>
      </c>
      <c r="E20" s="112"/>
      <c r="F20" s="1"/>
      <c r="G20" s="1"/>
      <c r="I20" s="1"/>
      <c r="L20" s="2">
        <v>-2</v>
      </c>
      <c r="M20" s="8">
        <f t="shared" si="0"/>
        <v>0.25</v>
      </c>
      <c r="N20" s="8"/>
      <c r="Q20" s="5"/>
    </row>
    <row r="21" spans="1:30" x14ac:dyDescent="0.45">
      <c r="A21" s="49" t="s">
        <v>26</v>
      </c>
      <c r="B21" s="109"/>
      <c r="C21" s="109"/>
      <c r="D21" s="109" t="str">
        <f>DEC2HEX(D20)</f>
        <v>FFFFFFFFFE</v>
      </c>
      <c r="E21" s="110"/>
      <c r="F21" s="1"/>
      <c r="G21" s="1"/>
      <c r="I21" s="1"/>
      <c r="L21" s="2">
        <v>-3</v>
      </c>
      <c r="M21" s="8">
        <f t="shared" si="0"/>
        <v>0.125</v>
      </c>
      <c r="N21" s="8"/>
      <c r="Q21" s="5"/>
    </row>
    <row r="22" spans="1:30" x14ac:dyDescent="0.45">
      <c r="A22" s="1"/>
      <c r="B22" s="7"/>
      <c r="L22" s="2">
        <v>-4</v>
      </c>
      <c r="M22" s="8">
        <f t="shared" si="0"/>
        <v>6.25E-2</v>
      </c>
      <c r="N22" s="8"/>
      <c r="P22" s="1"/>
      <c r="Q22" s="5"/>
    </row>
    <row r="23" spans="1:30" ht="17.5" customHeight="1" x14ac:dyDescent="0.45">
      <c r="A23" s="36" t="s">
        <v>3</v>
      </c>
      <c r="B23" s="97" t="str" cm="1">
        <f t="array" ref="B23">CutBinaryIgnoreSpaces(B7, 3, 1, 10)</f>
        <v>0000001001</v>
      </c>
      <c r="C23" s="97"/>
      <c r="D23" s="97" t="str" cm="1">
        <f t="array" ref="D23">CutBinaryIgnoreSpaces(D7, 3, 1, 10)</f>
        <v>0011111110</v>
      </c>
      <c r="E23" s="97"/>
      <c r="F23" s="97" t="str" cm="1">
        <f t="array" ref="F23">CutBinaryIgnoreSpaces(F7, 3, 1, 10)</f>
        <v>0010100001</v>
      </c>
      <c r="G23" s="97"/>
      <c r="H23" s="37"/>
      <c r="I23" s="97" t="str" cm="1">
        <f t="array" ref="I23">CutBinaryIgnoreSpaces(I7, 3, 1, 10)</f>
        <v>0100111010</v>
      </c>
      <c r="J23" s="98"/>
      <c r="L23" s="2">
        <v>-5</v>
      </c>
      <c r="M23" s="8">
        <f t="shared" si="0"/>
        <v>3.125E-2</v>
      </c>
      <c r="N23" s="8"/>
      <c r="Q23" s="5"/>
    </row>
    <row r="24" spans="1:30" ht="17.5" customHeight="1" x14ac:dyDescent="0.45">
      <c r="A24" s="38"/>
      <c r="B24" s="99" t="str" cm="1">
        <f t="array" ref="B24">InsertSpaceEvery4Chars(B23)</f>
        <v>00 0000 1001</v>
      </c>
      <c r="C24" s="99"/>
      <c r="D24" s="99" t="str" cm="1">
        <f t="array" ref="D24">InsertSpaceEvery4Chars(D23)</f>
        <v>00 1111 1110</v>
      </c>
      <c r="E24" s="99"/>
      <c r="F24" s="99" t="str" cm="1">
        <f t="array" ref="F24">InsertSpaceEvery4Chars(F23)</f>
        <v>00 1010 0001</v>
      </c>
      <c r="G24" s="99"/>
      <c r="H24" s="39"/>
      <c r="I24" s="99" t="str" cm="1">
        <f t="array" ref="I24">InsertSpaceEvery4Chars(I23)</f>
        <v>01 0011 1010</v>
      </c>
      <c r="J24" s="100"/>
      <c r="L24" s="2">
        <v>-6</v>
      </c>
      <c r="M24" s="8">
        <f t="shared" si="0"/>
        <v>1.5625E-2</v>
      </c>
      <c r="N24" s="8"/>
      <c r="Q24" s="5"/>
    </row>
    <row r="25" spans="1:30" ht="17.5" customHeight="1" x14ac:dyDescent="0.45">
      <c r="A25" s="40" t="s">
        <v>21</v>
      </c>
      <c r="B25" s="101" t="str" cm="1">
        <f t="array" ref="B25">BinPartsToHex(B23)</f>
        <v>9</v>
      </c>
      <c r="C25" s="101"/>
      <c r="D25" s="101" t="str" cm="1">
        <f t="array" ref="D25">BinPartsToHex(D23)</f>
        <v>FE</v>
      </c>
      <c r="E25" s="101"/>
      <c r="F25" s="101" t="str" cm="1">
        <f t="array" ref="F25">BinPartsToHex(F23)</f>
        <v>A1</v>
      </c>
      <c r="G25" s="101"/>
      <c r="H25" s="41"/>
      <c r="I25" s="101" t="str" cm="1">
        <f t="array" ref="I25">BinPartsToHex(I23)</f>
        <v>13A</v>
      </c>
      <c r="J25" s="102"/>
      <c r="L25" s="2">
        <v>-7</v>
      </c>
      <c r="M25" s="8">
        <f t="shared" si="0"/>
        <v>7.8125E-3</v>
      </c>
      <c r="N25" s="8"/>
      <c r="Q25" s="5"/>
    </row>
    <row r="26" spans="1:30" ht="17.5" customHeight="1" x14ac:dyDescent="0.45">
      <c r="A26" s="1"/>
      <c r="B26" s="1"/>
      <c r="C26" s="1"/>
      <c r="D26" s="1"/>
      <c r="E26" s="1"/>
      <c r="F26" s="1"/>
      <c r="G26" s="1"/>
      <c r="I26" s="1"/>
      <c r="J26" s="1"/>
      <c r="L26" s="2">
        <v>-8</v>
      </c>
      <c r="M26" s="8">
        <f t="shared" si="0"/>
        <v>3.90625E-3</v>
      </c>
      <c r="N26" s="8"/>
      <c r="Q26" s="5"/>
    </row>
    <row r="27" spans="1:30" ht="17.5" customHeight="1" x14ac:dyDescent="0.45">
      <c r="A27" s="42" t="s">
        <v>10</v>
      </c>
      <c r="B27" s="103" t="str" cm="1">
        <f t="array" ref="B27">IF(B10&lt;&gt;0, AddOneToLeftOfBinary(B23), "0"&amp;B23)</f>
        <v>10000001001</v>
      </c>
      <c r="C27" s="103"/>
      <c r="D27" s="103" t="str" cm="1">
        <f t="array" ref="D27">IF(D10&lt;&gt;0, AddOneToLeftOfBinary(D23), "0"&amp;D23)</f>
        <v>10011111110</v>
      </c>
      <c r="E27" s="103"/>
      <c r="F27" s="103" t="str" cm="1">
        <f t="array" ref="F27">IF(F10&lt;&gt;0, AddOneToLeftOfBinary(F23), "0"&amp;F23)</f>
        <v>00010100001</v>
      </c>
      <c r="G27" s="103"/>
      <c r="H27" s="43"/>
      <c r="I27" s="103" t="str" cm="1">
        <f t="array" ref="I27">IF(I10&lt;&gt;0, AddOneToLeftOfBinary(I23), "0"&amp;I23)</f>
        <v>10100111010</v>
      </c>
      <c r="J27" s="104"/>
      <c r="L27" s="2">
        <v>-9</v>
      </c>
      <c r="M27" s="8">
        <f t="shared" si="0"/>
        <v>1.953125E-3</v>
      </c>
      <c r="N27" s="8"/>
    </row>
    <row r="28" spans="1:30" ht="17.5" customHeight="1" x14ac:dyDescent="0.45">
      <c r="A28" s="44"/>
      <c r="B28" s="105" t="str" cm="1">
        <f t="array" ref="B28">InsertSpaceEvery4Chars(B27)</f>
        <v>100 0000 1001</v>
      </c>
      <c r="C28" s="105"/>
      <c r="D28" s="105" t="str" cm="1">
        <f t="array" ref="D28">InsertSpaceEvery4Chars(D27)</f>
        <v>100 1111 1110</v>
      </c>
      <c r="E28" s="105"/>
      <c r="F28" s="105" t="str" cm="1">
        <f t="array" ref="F28">InsertSpaceEvery4Chars(F27)</f>
        <v>000 1010 0001</v>
      </c>
      <c r="G28" s="105"/>
      <c r="H28" s="45"/>
      <c r="I28" s="105" t="str" cm="1">
        <f t="array" ref="I28">InsertSpaceEvery4Chars(I27)</f>
        <v>101 0011 1010</v>
      </c>
      <c r="J28" s="106"/>
      <c r="L28" s="2">
        <v>-10</v>
      </c>
      <c r="M28" s="8">
        <f t="shared" si="0"/>
        <v>9.765625E-4</v>
      </c>
      <c r="N28" s="8"/>
      <c r="P28" s="1"/>
    </row>
    <row r="29" spans="1:30" ht="17.5" customHeight="1" x14ac:dyDescent="0.45">
      <c r="A29" s="46" t="s">
        <v>21</v>
      </c>
      <c r="B29" s="107" t="str" cm="1">
        <f t="array" ref="B29">BinPartsToHex(B27)</f>
        <v>409</v>
      </c>
      <c r="C29" s="107"/>
      <c r="D29" s="107" t="str" cm="1">
        <f t="array" ref="D29">BinPartsToHex(D27)</f>
        <v>4FE</v>
      </c>
      <c r="E29" s="107"/>
      <c r="F29" s="107" t="str" cm="1">
        <f t="array" ref="F29">BinPartsToHex(F27)</f>
        <v>A1</v>
      </c>
      <c r="G29" s="107"/>
      <c r="H29" s="47"/>
      <c r="I29" s="107" t="str" cm="1">
        <f t="array" ref="I29">BinPartsToHex(I27)</f>
        <v>53A</v>
      </c>
      <c r="J29" s="108"/>
      <c r="L29" s="2">
        <v>-11</v>
      </c>
      <c r="M29" s="8">
        <f t="shared" si="0"/>
        <v>4.8828125E-4</v>
      </c>
      <c r="N29" s="8"/>
    </row>
    <row r="30" spans="1:30" x14ac:dyDescent="0.45">
      <c r="A30" s="1"/>
      <c r="I30" s="1"/>
      <c r="L30" s="2">
        <v>-12</v>
      </c>
      <c r="M30" s="8">
        <f t="shared" si="0"/>
        <v>2.44140625E-4</v>
      </c>
      <c r="N30" s="8"/>
      <c r="Q30" s="5"/>
    </row>
    <row r="31" spans="1:30" x14ac:dyDescent="0.45">
      <c r="A31" s="42" t="s">
        <v>35</v>
      </c>
      <c r="B31" s="103" t="str" cm="1">
        <f t="array" ref="B31">MultiplyBinaryN(B27,D27, 22)</f>
        <v>0101000010010011101110</v>
      </c>
      <c r="C31" s="103"/>
      <c r="D31" s="103"/>
      <c r="E31" s="104"/>
      <c r="F31" s="1"/>
      <c r="G31" s="1"/>
      <c r="L31" s="2">
        <v>-13</v>
      </c>
      <c r="M31" s="8">
        <f t="shared" si="0"/>
        <v>1.220703125E-4</v>
      </c>
      <c r="N31" s="8"/>
    </row>
    <row r="32" spans="1:30" x14ac:dyDescent="0.45">
      <c r="A32" s="44"/>
      <c r="B32" s="105" t="str" cm="1">
        <f t="array" ref="B32">InsertSpaceEvery4Chars(B31)</f>
        <v>01 0100 0010 0100 1110 1110</v>
      </c>
      <c r="C32" s="105"/>
      <c r="D32" s="105"/>
      <c r="E32" s="106"/>
      <c r="F32" s="1"/>
      <c r="G32" s="1"/>
      <c r="L32" s="2">
        <v>-14</v>
      </c>
      <c r="M32" s="8">
        <f t="shared" si="0"/>
        <v>6.103515625E-5</v>
      </c>
      <c r="N32" s="8"/>
    </row>
    <row r="33" spans="1:14" x14ac:dyDescent="0.45">
      <c r="A33" s="46" t="s">
        <v>21</v>
      </c>
      <c r="B33" s="107" t="str" cm="1">
        <f t="array" ref="B33">BinPartsToHex(B32)</f>
        <v>1424EE</v>
      </c>
      <c r="C33" s="107"/>
      <c r="D33" s="107"/>
      <c r="E33" s="108"/>
      <c r="F33" s="1"/>
      <c r="G33" s="1"/>
      <c r="L33" s="2">
        <v>-15</v>
      </c>
      <c r="M33" s="8">
        <f t="shared" si="0"/>
        <v>3.0517578125E-5</v>
      </c>
      <c r="N33" s="8"/>
    </row>
    <row r="34" spans="1:14" x14ac:dyDescent="0.45">
      <c r="A34" s="1"/>
      <c r="C34" s="1"/>
      <c r="D34" s="1"/>
      <c r="E34" s="1"/>
      <c r="F34" s="1"/>
      <c r="G34" s="1"/>
      <c r="L34" s="2">
        <v>-16</v>
      </c>
      <c r="M34" s="8">
        <f t="shared" si="0"/>
        <v>1.52587890625E-5</v>
      </c>
      <c r="N34" s="8"/>
    </row>
    <row r="35" spans="1:14" x14ac:dyDescent="0.45">
      <c r="A35" s="28" t="s">
        <v>47</v>
      </c>
      <c r="B35" s="29"/>
      <c r="C35" s="29"/>
      <c r="D35" s="35"/>
      <c r="E35" s="30" cm="1">
        <f t="array" ref="E35">FindFirstOnePosition(B31)-1</f>
        <v>1</v>
      </c>
      <c r="L35" s="2">
        <v>-17</v>
      </c>
      <c r="M35" s="8">
        <f t="shared" si="0"/>
        <v>7.62939453125E-6</v>
      </c>
      <c r="N35" s="8"/>
    </row>
    <row r="36" spans="1:14" x14ac:dyDescent="0.45">
      <c r="A36" s="1"/>
      <c r="C36" s="1"/>
      <c r="D36" s="1"/>
      <c r="I36" s="2" t="s">
        <v>21</v>
      </c>
      <c r="J36" s="1" t="s">
        <v>76</v>
      </c>
      <c r="L36" s="2">
        <v>-18</v>
      </c>
      <c r="M36" s="8">
        <f t="shared" si="0"/>
        <v>3.814697265625E-6</v>
      </c>
      <c r="N36" s="8"/>
    </row>
    <row r="37" spans="1:14" ht="17.5" customHeight="1" x14ac:dyDescent="0.45">
      <c r="A37" s="9" t="s">
        <v>16</v>
      </c>
      <c r="B37" s="79" t="str">
        <f>MID(B31, 1, 14)</f>
        <v>01010000100100</v>
      </c>
      <c r="C37" s="79"/>
      <c r="D37" s="79"/>
      <c r="E37" s="80"/>
      <c r="J37" s="1" t="str" cm="1">
        <f t="array" ref="J37">(MY_HEX2BIN(J36))</f>
        <v>11111011</v>
      </c>
      <c r="L37" s="2">
        <v>-19</v>
      </c>
      <c r="M37" s="8">
        <f t="shared" si="0"/>
        <v>1.9073486328125E-6</v>
      </c>
      <c r="N37" s="8"/>
    </row>
    <row r="38" spans="1:14" ht="17.5" customHeight="1" x14ac:dyDescent="0.45">
      <c r="A38" s="13"/>
      <c r="B38" s="81" t="str" cm="1">
        <f t="array" ref="B38">InsertSpaceEvery4Chars(B37)</f>
        <v>01 0100 0010 0100</v>
      </c>
      <c r="C38" s="81"/>
      <c r="D38" s="81"/>
      <c r="E38" s="82"/>
      <c r="J38" s="1" t="str" cm="1">
        <f t="array" ref="J38">InsertSpaceEvery4Chars(J37)</f>
        <v>1111 1011</v>
      </c>
      <c r="L38" s="2">
        <v>-20</v>
      </c>
      <c r="M38" s="8">
        <f t="shared" si="0"/>
        <v>9.5367431640625E-7</v>
      </c>
      <c r="N38" s="8"/>
    </row>
    <row r="39" spans="1:14" ht="17.5" customHeight="1" x14ac:dyDescent="0.45">
      <c r="A39" s="15" t="s">
        <v>21</v>
      </c>
      <c r="B39" s="83" t="str" cm="1">
        <f t="array" ref="B39">BinPartsToHex(B38)</f>
        <v>1424</v>
      </c>
      <c r="C39" s="83"/>
      <c r="D39" s="83"/>
      <c r="E39" s="84"/>
      <c r="H39" s="2" t="s">
        <v>32</v>
      </c>
      <c r="L39" s="2">
        <v>-21</v>
      </c>
      <c r="M39" s="8">
        <f t="shared" si="0"/>
        <v>4.76837158203125E-7</v>
      </c>
      <c r="N39" s="8"/>
    </row>
    <row r="40" spans="1:14" x14ac:dyDescent="0.45">
      <c r="A40" s="1"/>
      <c r="L40" s="2">
        <v>-22</v>
      </c>
      <c r="M40" s="8">
        <f t="shared" si="0"/>
        <v>2.384185791015625E-7</v>
      </c>
    </row>
    <row r="41" spans="1:14" x14ac:dyDescent="0.45">
      <c r="A41" s="9" t="s">
        <v>12</v>
      </c>
      <c r="B41" s="25"/>
      <c r="C41" s="10"/>
      <c r="D41" s="11"/>
      <c r="E41" s="12" t="str">
        <f>MID(RIGHT(B37, 4), 1, 1)</f>
        <v>0</v>
      </c>
      <c r="L41" s="2">
        <v>-23</v>
      </c>
      <c r="M41" s="8">
        <f t="shared" si="0"/>
        <v>1.1920928955078125E-7</v>
      </c>
    </row>
    <row r="42" spans="1:14" x14ac:dyDescent="0.45">
      <c r="A42" s="13" t="s">
        <v>7</v>
      </c>
      <c r="B42" s="26"/>
      <c r="C42" s="1"/>
      <c r="D42" s="1"/>
      <c r="E42" s="14" t="str">
        <f>MID(RIGHT(B37, 3), 1, 1)</f>
        <v>1</v>
      </c>
      <c r="L42" s="2">
        <v>-24</v>
      </c>
      <c r="M42" s="8">
        <f t="shared" si="0"/>
        <v>5.9604644775390625E-8</v>
      </c>
    </row>
    <row r="43" spans="1:14" x14ac:dyDescent="0.45">
      <c r="A43" s="13" t="s">
        <v>8</v>
      </c>
      <c r="B43" s="26"/>
      <c r="C43" s="1"/>
      <c r="D43" s="1"/>
      <c r="E43" s="14" t="str">
        <f>MID(RIGHT(B37, 2), 1, 1)</f>
        <v>0</v>
      </c>
    </row>
    <row r="44" spans="1:14" x14ac:dyDescent="0.45">
      <c r="A44" s="15" t="s">
        <v>9</v>
      </c>
      <c r="B44" s="27"/>
      <c r="C44" s="16"/>
      <c r="D44" s="16"/>
      <c r="E44" s="18" t="str">
        <f>MID(RIGHT(B37, 1), 1, 1)</f>
        <v>0</v>
      </c>
    </row>
    <row r="45" spans="1:14" x14ac:dyDescent="0.45">
      <c r="A45" s="1"/>
    </row>
    <row r="46" spans="1:14" x14ac:dyDescent="0.45">
      <c r="A46" s="9" t="s">
        <v>22</v>
      </c>
      <c r="B46" s="11"/>
      <c r="C46" s="10"/>
      <c r="D46" s="10"/>
      <c r="E46" s="12" t="str" cm="1">
        <f t="array" ref="E46">AlignBitsBin(B37,E41,E42,E43,E44)</f>
        <v>01010000100</v>
      </c>
    </row>
    <row r="47" spans="1:14" x14ac:dyDescent="0.45">
      <c r="A47" s="31"/>
      <c r="C47" s="1"/>
      <c r="D47" s="1"/>
      <c r="E47" s="14" t="str" cm="1">
        <f t="array" ref="E47">InsertSpaceEvery4Chars(E46)</f>
        <v>010 1000 0100</v>
      </c>
    </row>
    <row r="48" spans="1:14" x14ac:dyDescent="0.45">
      <c r="A48" s="15" t="s">
        <v>21</v>
      </c>
      <c r="B48" s="17"/>
      <c r="C48" s="16"/>
      <c r="D48" s="16"/>
      <c r="E48" s="18" t="str" cm="1">
        <f t="array" ref="E48">BinPartsToHex(E47)</f>
        <v>284</v>
      </c>
    </row>
    <row r="50" spans="5:5" x14ac:dyDescent="0.45">
      <c r="E50" s="1"/>
    </row>
  </sheetData>
  <mergeCells count="79">
    <mergeCell ref="B33:E33"/>
    <mergeCell ref="B37:E37"/>
    <mergeCell ref="B38:E38"/>
    <mergeCell ref="B39:E39"/>
    <mergeCell ref="B29:C29"/>
    <mergeCell ref="D29:E29"/>
    <mergeCell ref="F29:G29"/>
    <mergeCell ref="I29:J29"/>
    <mergeCell ref="B31:E31"/>
    <mergeCell ref="B32:E32"/>
    <mergeCell ref="B27:C27"/>
    <mergeCell ref="D27:E27"/>
    <mergeCell ref="F27:G27"/>
    <mergeCell ref="I27:J27"/>
    <mergeCell ref="B28:C28"/>
    <mergeCell ref="D28:E28"/>
    <mergeCell ref="F28:G28"/>
    <mergeCell ref="I28:J28"/>
    <mergeCell ref="B24:C24"/>
    <mergeCell ref="D24:E24"/>
    <mergeCell ref="F24:G24"/>
    <mergeCell ref="I24:J24"/>
    <mergeCell ref="B25:C25"/>
    <mergeCell ref="D25:E25"/>
    <mergeCell ref="F25:G25"/>
    <mergeCell ref="I25:J25"/>
    <mergeCell ref="I23:J23"/>
    <mergeCell ref="B16:C16"/>
    <mergeCell ref="D16:E16"/>
    <mergeCell ref="F16:G16"/>
    <mergeCell ref="I16:J16"/>
    <mergeCell ref="D18:E18"/>
    <mergeCell ref="B20:C20"/>
    <mergeCell ref="D20:E20"/>
    <mergeCell ref="B21:C21"/>
    <mergeCell ref="D21:E21"/>
    <mergeCell ref="B23:C23"/>
    <mergeCell ref="D23:E23"/>
    <mergeCell ref="F23:G23"/>
    <mergeCell ref="B13:C13"/>
    <mergeCell ref="D13:E13"/>
    <mergeCell ref="F13:G13"/>
    <mergeCell ref="I13:J13"/>
    <mergeCell ref="B15:C15"/>
    <mergeCell ref="D15:E15"/>
    <mergeCell ref="F15:G15"/>
    <mergeCell ref="I15:J15"/>
    <mergeCell ref="B7:C7"/>
    <mergeCell ref="D7:E7"/>
    <mergeCell ref="F7:G7"/>
    <mergeCell ref="I7:J7"/>
    <mergeCell ref="B8:C8"/>
    <mergeCell ref="D8:E8"/>
    <mergeCell ref="F8:G8"/>
    <mergeCell ref="I8:J8"/>
    <mergeCell ref="B5:C5"/>
    <mergeCell ref="D5:E5"/>
    <mergeCell ref="F5:G5"/>
    <mergeCell ref="I5:J5"/>
    <mergeCell ref="B6:C6"/>
    <mergeCell ref="D6:E6"/>
    <mergeCell ref="F6:G6"/>
    <mergeCell ref="I6:J6"/>
    <mergeCell ref="B3:C3"/>
    <mergeCell ref="D3:E3"/>
    <mergeCell ref="F3:G3"/>
    <mergeCell ref="I3:J3"/>
    <mergeCell ref="B4:C4"/>
    <mergeCell ref="D4:E4"/>
    <mergeCell ref="F4:G4"/>
    <mergeCell ref="I4:J4"/>
    <mergeCell ref="B1:C1"/>
    <mergeCell ref="D1:E1"/>
    <mergeCell ref="F1:G1"/>
    <mergeCell ref="I1:J1"/>
    <mergeCell ref="B2:C2"/>
    <mergeCell ref="D2:E2"/>
    <mergeCell ref="F2:G2"/>
    <mergeCell ref="I2:J2"/>
  </mergeCells>
  <phoneticPr fontId="1" type="noConversion"/>
  <conditionalFormatting sqref="B13:G13">
    <cfRule type="cellIs" dxfId="11" priority="5" operator="equal">
      <formula>"NaN"</formula>
    </cfRule>
    <cfRule type="cellIs" dxfId="10" priority="6" operator="equal">
      <formula>"Denormal"</formula>
    </cfRule>
  </conditionalFormatting>
  <conditionalFormatting sqref="B13:G13">
    <cfRule type="cellIs" dxfId="9" priority="4" operator="equal">
      <formula>"Infinite"</formula>
    </cfRule>
  </conditionalFormatting>
  <conditionalFormatting sqref="I13:J13">
    <cfRule type="cellIs" dxfId="8" priority="2" operator="equal">
      <formula>"NaN"</formula>
    </cfRule>
    <cfRule type="cellIs" dxfId="7" priority="3" operator="equal">
      <formula>"Denormal"</formula>
    </cfRule>
  </conditionalFormatting>
  <conditionalFormatting sqref="I13:J13">
    <cfRule type="cellIs" dxfId="6" priority="1" operator="equal">
      <formula>"Infinite"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CF0EF7-F8EE-4EB9-BE35-79DEC8FD7060}">
  <sheetPr codeName="Sheet9"/>
  <dimension ref="A1:AV50"/>
  <sheetViews>
    <sheetView showGridLines="0" tabSelected="1" zoomScaleNormal="100" workbookViewId="0">
      <selection activeCell="M2" sqref="M2:N2"/>
    </sheetView>
  </sheetViews>
  <sheetFormatPr defaultRowHeight="15.5" x14ac:dyDescent="0.45"/>
  <cols>
    <col min="1" max="1" width="34.765625" style="2" customWidth="1"/>
    <col min="2" max="12" width="12.07421875" style="2" customWidth="1"/>
    <col min="13" max="14" width="12.15234375" style="2" customWidth="1"/>
    <col min="15" max="15" width="8.3046875" style="2" customWidth="1"/>
    <col min="16" max="16" width="4.3046875" style="2" customWidth="1"/>
    <col min="17" max="17" width="17.3046875" style="2" customWidth="1"/>
    <col min="18" max="18" width="7.53515625" style="2" customWidth="1"/>
    <col min="19" max="19" width="7.3046875" style="2" customWidth="1"/>
    <col min="20" max="20" width="21.07421875" style="3" customWidth="1"/>
    <col min="21" max="21" width="3.23046875" style="3" customWidth="1"/>
    <col min="22" max="22" width="3.23046875" style="1" customWidth="1"/>
    <col min="23" max="56" width="3.23046875" style="2" customWidth="1"/>
    <col min="57" max="16384" width="9.23046875" style="2"/>
  </cols>
  <sheetData>
    <row r="1" spans="1:48" ht="17.5" customHeight="1" x14ac:dyDescent="0.45">
      <c r="B1" s="93" t="s">
        <v>4</v>
      </c>
      <c r="C1" s="93"/>
      <c r="D1" s="94" t="s">
        <v>5</v>
      </c>
      <c r="E1" s="94"/>
      <c r="F1" s="94" t="s">
        <v>91</v>
      </c>
      <c r="G1" s="94"/>
      <c r="H1" s="88" t="s">
        <v>31</v>
      </c>
      <c r="I1" s="88"/>
      <c r="J1" s="88" t="s">
        <v>94</v>
      </c>
      <c r="K1" s="88"/>
      <c r="M1" s="88" t="s">
        <v>18</v>
      </c>
      <c r="N1" s="88"/>
    </row>
    <row r="2" spans="1:48" ht="17.5" customHeight="1" x14ac:dyDescent="0.45">
      <c r="A2" s="32" t="s">
        <v>0</v>
      </c>
      <c r="B2" s="89" t="s">
        <v>97</v>
      </c>
      <c r="C2" s="90"/>
      <c r="D2" s="89" t="s">
        <v>98</v>
      </c>
      <c r="E2" s="90"/>
      <c r="F2" s="89" t="s">
        <v>99</v>
      </c>
      <c r="G2" s="90"/>
      <c r="H2" s="89"/>
      <c r="I2" s="90"/>
      <c r="J2" s="89" t="s">
        <v>100</v>
      </c>
      <c r="K2" s="90"/>
      <c r="M2" s="89" t="s">
        <v>101</v>
      </c>
      <c r="N2" s="90"/>
      <c r="P2" s="2">
        <v>16</v>
      </c>
      <c r="Q2" s="8">
        <f t="shared" ref="Q2:Q42" si="0">2^(P2)</f>
        <v>65536</v>
      </c>
      <c r="R2" s="8"/>
    </row>
    <row r="3" spans="1:48" ht="17.5" customHeight="1" x14ac:dyDescent="0.45">
      <c r="A3" s="33" t="s">
        <v>19</v>
      </c>
      <c r="B3" s="91" cm="1">
        <f t="array" ref="B3">FP16HexToDecimal(B2)</f>
        <v>3.953125</v>
      </c>
      <c r="C3" s="92"/>
      <c r="D3" s="91" cm="1">
        <f t="array" ref="D3">FP16HexToDecimal(D2)</f>
        <v>-1.2350082397460938E-4</v>
      </c>
      <c r="E3" s="92"/>
      <c r="F3" s="91" cm="1">
        <f t="array" ref="F3">FP16HexToDecimal(F2)</f>
        <v>5.4454803466796875E-4</v>
      </c>
      <c r="G3" s="92"/>
      <c r="H3" s="91">
        <f>B3*D3</f>
        <v>-4.8821419477462769E-4</v>
      </c>
      <c r="I3" s="92"/>
      <c r="J3" s="91" cm="1">
        <f t="array" ref="J3">FP16HexToDecimal(J2)</f>
        <v>5.6326389312744141E-5</v>
      </c>
      <c r="K3" s="92"/>
      <c r="L3" s="1"/>
      <c r="M3" s="91" cm="1">
        <f t="array" ref="M3">FP16HexToDecimal(M2)</f>
        <v>3.6668777465820313E-4</v>
      </c>
      <c r="N3" s="92"/>
      <c r="P3" s="2">
        <v>15</v>
      </c>
      <c r="Q3" s="8">
        <f t="shared" si="0"/>
        <v>32768</v>
      </c>
      <c r="R3" s="8"/>
    </row>
    <row r="4" spans="1:48" ht="17.5" customHeight="1" x14ac:dyDescent="0.45">
      <c r="A4" s="33" t="s">
        <v>28</v>
      </c>
      <c r="B4" s="91">
        <f>2^(B15-9)</f>
        <v>3.90625E-3</v>
      </c>
      <c r="C4" s="92"/>
      <c r="D4" s="91">
        <f>2^(D15-9)</f>
        <v>2.384185791015625E-7</v>
      </c>
      <c r="E4" s="92"/>
      <c r="F4" s="91">
        <f>2^(F15-9)</f>
        <v>9.5367431640625E-7</v>
      </c>
      <c r="G4" s="92"/>
      <c r="H4" s="91">
        <f>2^(H15-9)</f>
        <v>1.953125E-3</v>
      </c>
      <c r="I4" s="92"/>
      <c r="J4" s="91">
        <f>2^(J15-9)</f>
        <v>5.9604644775390625E-8</v>
      </c>
      <c r="K4" s="92"/>
      <c r="L4" s="1"/>
      <c r="M4" s="91">
        <f>2^(M15-9)</f>
        <v>4.76837158203125E-7</v>
      </c>
      <c r="N4" s="92"/>
      <c r="P4" s="2">
        <v>14</v>
      </c>
      <c r="Q4" s="8">
        <f t="shared" si="0"/>
        <v>16384</v>
      </c>
      <c r="R4" s="8"/>
      <c r="V4" s="5"/>
      <c r="W4" s="6"/>
      <c r="X4" s="6"/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/>
      <c r="AN4" s="6"/>
      <c r="AO4" s="6"/>
      <c r="AP4" s="6"/>
      <c r="AQ4" s="6"/>
      <c r="AR4" s="6"/>
      <c r="AS4" s="6"/>
      <c r="AT4" s="6"/>
      <c r="AU4" s="6"/>
      <c r="AV4" s="6"/>
    </row>
    <row r="5" spans="1:48" ht="17.5" customHeight="1" x14ac:dyDescent="0.45">
      <c r="A5" s="33" t="s">
        <v>1</v>
      </c>
      <c r="B5" s="85" t="str" cm="1">
        <f t="array" ref="B5">(MY_HEX2BIN(B2))</f>
        <v>0100001111101000</v>
      </c>
      <c r="C5" s="82"/>
      <c r="D5" s="85" t="str" cm="1">
        <f t="array" ref="D5">(MY_HEX2BIN(D2))</f>
        <v>1000100000001100</v>
      </c>
      <c r="E5" s="82"/>
      <c r="F5" s="85" t="str" cm="1">
        <f t="array" ref="F5">(MY_HEX2BIN(F2))</f>
        <v>0001000001110110</v>
      </c>
      <c r="G5" s="82"/>
      <c r="H5" s="85" t="str" cm="1">
        <f t="array" ref="H5">(MY_HEX2BIN(H2))</f>
        <v/>
      </c>
      <c r="I5" s="82"/>
      <c r="J5" s="85" t="str" cm="1">
        <f t="array" ref="J5">(MY_HEX2BIN(J2))</f>
        <v>0000001110110001</v>
      </c>
      <c r="K5" s="82"/>
      <c r="M5" s="85" t="str" cm="1">
        <f t="array" ref="M5">(MY_HEX2BIN(M2))</f>
        <v>0000111000000010</v>
      </c>
      <c r="N5" s="82"/>
      <c r="P5" s="2">
        <v>13</v>
      </c>
      <c r="Q5" s="8">
        <f t="shared" si="0"/>
        <v>8192</v>
      </c>
      <c r="R5" s="8"/>
      <c r="T5" s="3" t="s">
        <v>36</v>
      </c>
      <c r="U5" s="5" t="s">
        <v>37</v>
      </c>
      <c r="V5" s="6" t="s">
        <v>38</v>
      </c>
      <c r="W5" s="6" t="s">
        <v>37</v>
      </c>
      <c r="X5" s="6" t="s">
        <v>37</v>
      </c>
      <c r="Y5" s="6" t="s">
        <v>38</v>
      </c>
      <c r="Z5" s="6" t="s">
        <v>37</v>
      </c>
      <c r="AA5" s="6" t="s">
        <v>38</v>
      </c>
      <c r="AB5" s="6" t="s">
        <v>37</v>
      </c>
      <c r="AC5" s="6" t="s">
        <v>37</v>
      </c>
      <c r="AD5" s="6" t="s">
        <v>37</v>
      </c>
      <c r="AE5" s="6" t="s">
        <v>37</v>
      </c>
      <c r="AF5" s="6" t="s">
        <v>38</v>
      </c>
      <c r="AG5" s="6" t="s">
        <v>37</v>
      </c>
      <c r="AH5" s="6" t="s">
        <v>37</v>
      </c>
      <c r="AI5" s="6" t="s">
        <v>37</v>
      </c>
      <c r="AJ5" s="6" t="s">
        <v>38</v>
      </c>
      <c r="AK5" s="6" t="s">
        <v>38</v>
      </c>
      <c r="AL5" s="6" t="s">
        <v>37</v>
      </c>
      <c r="AM5" s="6" t="s">
        <v>37</v>
      </c>
      <c r="AN5" s="6" t="s">
        <v>38</v>
      </c>
      <c r="AO5" s="6" t="s">
        <v>38</v>
      </c>
      <c r="AP5" s="6" t="s">
        <v>37</v>
      </c>
    </row>
    <row r="6" spans="1:48" ht="17.5" customHeight="1" x14ac:dyDescent="0.45">
      <c r="A6" s="33"/>
      <c r="B6" s="85" t="str" cm="1">
        <f t="array" ref="B6">InsertSpaceEvery4Chars(B5)</f>
        <v>0100 0011 1110 1000</v>
      </c>
      <c r="C6" s="82"/>
      <c r="D6" s="85" t="str" cm="1">
        <f t="array" ref="D6">InsertSpaceEvery4Chars(D5)</f>
        <v>1000 1000 0000 1100</v>
      </c>
      <c r="E6" s="82"/>
      <c r="F6" s="85" t="str" cm="1">
        <f t="array" ref="F6">InsertSpaceEvery4Chars(F5)</f>
        <v>0001 0000 0111 0110</v>
      </c>
      <c r="G6" s="82"/>
      <c r="H6" s="85" t="str" cm="1">
        <f t="array" ref="H6">InsertSpaceEvery4Chars(H5)</f>
        <v/>
      </c>
      <c r="I6" s="82"/>
      <c r="J6" s="85" t="str" cm="1">
        <f t="array" ref="J6">InsertSpaceEvery4Chars(J5)</f>
        <v>0000 0011 1011 0001</v>
      </c>
      <c r="K6" s="82"/>
      <c r="M6" s="85" t="str" cm="1">
        <f t="array" ref="M6">InsertSpaceEvery4Chars(M5)</f>
        <v>0000 1110 0000 0010</v>
      </c>
      <c r="N6" s="82"/>
      <c r="P6" s="2">
        <v>12</v>
      </c>
      <c r="Q6" s="8">
        <f t="shared" si="0"/>
        <v>4096</v>
      </c>
      <c r="R6" s="8"/>
      <c r="U6" s="5"/>
      <c r="V6" s="6"/>
      <c r="W6" s="4"/>
    </row>
    <row r="7" spans="1:48" ht="17.5" customHeight="1" x14ac:dyDescent="0.45">
      <c r="A7" s="33" t="s">
        <v>2</v>
      </c>
      <c r="B7" s="85" t="str" cm="1">
        <f t="array" ref="B7">SplitBinary(B5, 1, 6)</f>
        <v>0 | 1 0000 | 11 1110 1000</v>
      </c>
      <c r="C7" s="82"/>
      <c r="D7" s="85" t="str" cm="1">
        <f t="array" ref="D7">SplitBinary(D5, 1, 6)</f>
        <v>1 | 0 0010 | 00 0000 1100</v>
      </c>
      <c r="E7" s="82"/>
      <c r="F7" s="85" t="str" cm="1">
        <f t="array" ref="F7">SplitBinary(F5, 1, 6)</f>
        <v>0 | 0 0100 | 00 0111 0110</v>
      </c>
      <c r="G7" s="82"/>
      <c r="H7" s="85"/>
      <c r="I7" s="82"/>
      <c r="J7" s="85" t="str" cm="1">
        <f t="array" ref="J7">SplitBinary(J5, 1, 6)</f>
        <v>0 | 0 0000 | 11 1011 0001</v>
      </c>
      <c r="K7" s="82"/>
      <c r="M7" s="85" t="str" cm="1">
        <f t="array" ref="M7">SplitBinary(M5, 1, 6)</f>
        <v>0 | 0 0011 | 10 0000 0010</v>
      </c>
      <c r="N7" s="82"/>
      <c r="P7" s="2">
        <v>11</v>
      </c>
      <c r="Q7" s="8">
        <f t="shared" si="0"/>
        <v>2048</v>
      </c>
      <c r="R7" s="8"/>
      <c r="T7" s="1"/>
      <c r="U7" s="6"/>
    </row>
    <row r="8" spans="1:48" ht="17.5" customHeight="1" x14ac:dyDescent="0.45">
      <c r="A8" s="33"/>
      <c r="B8" s="85" t="str" cm="1">
        <f t="array" ref="B8">BinPartsToHex(B7)</f>
        <v>0 | 10 | 3E8</v>
      </c>
      <c r="C8" s="82"/>
      <c r="D8" s="85" t="str" cm="1">
        <f t="array" ref="D8">BinPartsToHex(D7)</f>
        <v>1 | 2 | C</v>
      </c>
      <c r="E8" s="82"/>
      <c r="F8" s="85" t="str" cm="1">
        <f t="array" ref="F8">BinPartsToHex(F7)</f>
        <v>0 | 4 | 76</v>
      </c>
      <c r="G8" s="82"/>
      <c r="H8" s="85"/>
      <c r="I8" s="82"/>
      <c r="J8" s="85" t="str" cm="1">
        <f t="array" ref="J8">BinPartsToHex(J7)</f>
        <v>0 | 0 | 3B1</v>
      </c>
      <c r="K8" s="82"/>
      <c r="M8" s="85" t="str" cm="1">
        <f t="array" ref="M8">BinPartsToHex(M7)</f>
        <v>0 | 3 | 202</v>
      </c>
      <c r="N8" s="82"/>
      <c r="P8" s="2">
        <v>10</v>
      </c>
      <c r="Q8" s="8">
        <f t="shared" si="0"/>
        <v>1024</v>
      </c>
      <c r="R8" s="8"/>
      <c r="U8" s="5"/>
    </row>
    <row r="9" spans="1:48" x14ac:dyDescent="0.45">
      <c r="A9" s="33" t="s">
        <v>23</v>
      </c>
      <c r="B9" s="13">
        <f>HEX2DEC(C9)</f>
        <v>0</v>
      </c>
      <c r="C9" s="14" t="str" cm="1">
        <f t="array" ref="C9">GetPipePart(B$8, 1)</f>
        <v>0</v>
      </c>
      <c r="D9" s="13">
        <f>HEX2DEC(E9)</f>
        <v>1</v>
      </c>
      <c r="E9" s="14" t="str" cm="1">
        <f t="array" ref="E9">GetPipePart(D$8, 1)</f>
        <v>1</v>
      </c>
      <c r="F9" s="13">
        <f>HEX2DEC(G9)</f>
        <v>0</v>
      </c>
      <c r="G9" s="14" t="str" cm="1">
        <f t="array" ref="G9">GetPipePart(F$8, 1)</f>
        <v>0</v>
      </c>
      <c r="H9" s="13"/>
      <c r="I9" s="14"/>
      <c r="J9" s="13">
        <f>HEX2DEC(K9)</f>
        <v>0</v>
      </c>
      <c r="K9" s="14" t="str" cm="1">
        <f t="array" ref="K9">GetPipePart(J$8, 1)</f>
        <v>0</v>
      </c>
      <c r="M9" s="13">
        <f>HEX2DEC(N9)</f>
        <v>0</v>
      </c>
      <c r="N9" s="14" t="str" cm="1">
        <f t="array" ref="N9">GetPipePart(M$8, 1)</f>
        <v>0</v>
      </c>
      <c r="P9" s="2">
        <v>9</v>
      </c>
      <c r="Q9" s="8">
        <f t="shared" si="0"/>
        <v>512</v>
      </c>
      <c r="R9" s="8"/>
      <c r="S9" s="1"/>
      <c r="U9" s="2"/>
      <c r="V9" s="2"/>
      <c r="AF9" s="5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</row>
    <row r="10" spans="1:48" x14ac:dyDescent="0.45">
      <c r="A10" s="33" t="s">
        <v>24</v>
      </c>
      <c r="B10" s="13">
        <f t="shared" ref="B10:B11" si="1">HEX2DEC(C10)</f>
        <v>16</v>
      </c>
      <c r="C10" s="14" t="str" cm="1">
        <f t="array" ref="C10">GetPipePart(B$8, 2)</f>
        <v>10</v>
      </c>
      <c r="D10" s="13">
        <f t="shared" ref="D10:D11" si="2">HEX2DEC(E10)</f>
        <v>2</v>
      </c>
      <c r="E10" s="14" t="str" cm="1">
        <f t="array" ref="E10">GetPipePart(D$8, 2)</f>
        <v>2</v>
      </c>
      <c r="F10" s="13">
        <f t="shared" ref="F10:F11" si="3">HEX2DEC(G10)</f>
        <v>4</v>
      </c>
      <c r="G10" s="14" t="str" cm="1">
        <f t="array" ref="G10">GetPipePart(F$8, 2)</f>
        <v>4</v>
      </c>
      <c r="H10" s="13"/>
      <c r="I10" s="14"/>
      <c r="J10" s="13">
        <f t="shared" ref="J10:J11" si="4">HEX2DEC(K10)</f>
        <v>0</v>
      </c>
      <c r="K10" s="14" t="str" cm="1">
        <f t="array" ref="K10">GetPipePart(J$8, 2)</f>
        <v>0</v>
      </c>
      <c r="M10" s="13">
        <f t="shared" ref="M10:M11" si="5">HEX2DEC(N10)</f>
        <v>3</v>
      </c>
      <c r="N10" s="14" t="str" cm="1">
        <f t="array" ref="N10">GetPipePart(M$8, 2)</f>
        <v>3</v>
      </c>
      <c r="P10" s="2">
        <v>8</v>
      </c>
      <c r="Q10" s="8">
        <f t="shared" si="0"/>
        <v>256</v>
      </c>
      <c r="R10" s="8"/>
      <c r="T10" s="1"/>
      <c r="U10" s="5" t="s">
        <v>37</v>
      </c>
      <c r="V10" s="6" t="s">
        <v>38</v>
      </c>
      <c r="W10" s="6" t="s">
        <v>37</v>
      </c>
      <c r="X10" s="6" t="s">
        <v>37</v>
      </c>
      <c r="Y10" s="6" t="s">
        <v>38</v>
      </c>
      <c r="Z10" s="6" t="s">
        <v>37</v>
      </c>
      <c r="AA10" s="6" t="s">
        <v>38</v>
      </c>
      <c r="AB10" s="6" t="s">
        <v>37</v>
      </c>
      <c r="AC10" s="6" t="s">
        <v>37</v>
      </c>
      <c r="AD10" s="6" t="s">
        <v>37</v>
      </c>
      <c r="AE10" s="6" t="s">
        <v>37</v>
      </c>
      <c r="AF10" s="6" t="s">
        <v>38</v>
      </c>
      <c r="AG10" s="6" t="s">
        <v>37</v>
      </c>
      <c r="AH10" s="6" t="s">
        <v>37</v>
      </c>
      <c r="AI10" s="6" t="s">
        <v>37</v>
      </c>
      <c r="AJ10" s="6"/>
      <c r="AK10" s="6"/>
    </row>
    <row r="11" spans="1:48" x14ac:dyDescent="0.45">
      <c r="A11" s="33" t="s">
        <v>25</v>
      </c>
      <c r="B11" s="13">
        <f t="shared" si="1"/>
        <v>1000</v>
      </c>
      <c r="C11" s="14" t="str" cm="1">
        <f t="array" ref="C11">GetPipePart(B$8, 3)</f>
        <v>3E8</v>
      </c>
      <c r="D11" s="13">
        <f t="shared" si="2"/>
        <v>12</v>
      </c>
      <c r="E11" s="14" t="str" cm="1">
        <f t="array" ref="E11">GetPipePart(D$8, 3)</f>
        <v>C</v>
      </c>
      <c r="F11" s="13">
        <f t="shared" si="3"/>
        <v>118</v>
      </c>
      <c r="G11" s="14" t="str" cm="1">
        <f t="array" ref="G11">GetPipePart(F$8, 3)</f>
        <v>76</v>
      </c>
      <c r="H11" s="13"/>
      <c r="I11" s="14"/>
      <c r="J11" s="13">
        <f t="shared" si="4"/>
        <v>945</v>
      </c>
      <c r="K11" s="14" t="str" cm="1">
        <f t="array" ref="K11">GetPipePart(J$8, 3)</f>
        <v>3B1</v>
      </c>
      <c r="M11" s="13">
        <f t="shared" si="5"/>
        <v>514</v>
      </c>
      <c r="N11" s="14" t="str" cm="1">
        <f t="array" ref="N11">GetPipePart(M$8, 3)</f>
        <v>202</v>
      </c>
      <c r="P11" s="2">
        <v>7</v>
      </c>
      <c r="Q11" s="8">
        <f t="shared" si="0"/>
        <v>128</v>
      </c>
      <c r="R11" s="8"/>
      <c r="S11" s="1"/>
      <c r="V11" s="6"/>
    </row>
    <row r="12" spans="1:48" x14ac:dyDescent="0.45">
      <c r="A12" s="33"/>
      <c r="B12" s="13"/>
      <c r="C12" s="14"/>
      <c r="D12" s="13"/>
      <c r="E12" s="14"/>
      <c r="F12" s="13"/>
      <c r="G12" s="14"/>
      <c r="H12" s="13"/>
      <c r="I12" s="14"/>
      <c r="J12" s="13"/>
      <c r="K12" s="14"/>
      <c r="M12" s="13"/>
      <c r="N12" s="14"/>
      <c r="P12" s="2">
        <v>6</v>
      </c>
      <c r="Q12" s="8">
        <f t="shared" si="0"/>
        <v>64</v>
      </c>
      <c r="R12" s="8"/>
      <c r="U12" s="5"/>
    </row>
    <row r="13" spans="1:48" x14ac:dyDescent="0.45">
      <c r="A13" s="34" t="s">
        <v>20</v>
      </c>
      <c r="B13" s="86" t="str">
        <f>IF(C10="0","Denormal",IF(AND(C11="0", C10="1F"),"Infinite",IF(AND(C11&lt;&gt;"0", C10="1F"),"NaN","Normal")))</f>
        <v>Normal</v>
      </c>
      <c r="C13" s="87"/>
      <c r="D13" s="86" t="str">
        <f t="shared" ref="D13" si="6">IF(E10="0","Denormal",IF(AND(E11="0", E10="1F"),"Infinite",IF(AND(E11&lt;&gt;"0", E10="1F"),"NaN","Normal")))</f>
        <v>Normal</v>
      </c>
      <c r="E13" s="87"/>
      <c r="F13" s="86" t="str">
        <f t="shared" ref="F13" si="7">IF(G10="0","Denormal",IF(AND(G11="0", G10="1F"),"Infinite",IF(AND(G11&lt;&gt;"0", G10="1F"),"NaN","Normal")))</f>
        <v>Normal</v>
      </c>
      <c r="G13" s="87"/>
      <c r="H13" s="86" t="str">
        <f t="shared" ref="H13" si="8">IF(I10="0","Denormal",IF(AND(I11="0", I10="1F"),"Infinite",IF(AND(I11&lt;&gt;"0", I10="1F"),"NaN","Normal")))</f>
        <v>Normal</v>
      </c>
      <c r="I13" s="87"/>
      <c r="J13" s="86" t="str">
        <f t="shared" ref="J13:M13" si="9">IF(K10="0","Denormal",IF(AND(K11="0", K10="1F"),"Infinite",IF(AND(K11&lt;&gt;"0", K10="1F"),"NaN","Normal")))</f>
        <v>Denormal</v>
      </c>
      <c r="K13" s="87"/>
      <c r="M13" s="86" t="str">
        <f t="shared" si="9"/>
        <v>Normal</v>
      </c>
      <c r="N13" s="87"/>
      <c r="P13" s="2">
        <v>5</v>
      </c>
      <c r="Q13" s="8">
        <f t="shared" si="0"/>
        <v>32</v>
      </c>
      <c r="R13" s="8"/>
      <c r="T13" s="3" t="s">
        <v>39</v>
      </c>
      <c r="U13" s="52" t="s">
        <v>37</v>
      </c>
      <c r="V13" s="53" t="s">
        <v>37</v>
      </c>
      <c r="W13" s="53" t="s">
        <v>37</v>
      </c>
      <c r="X13" s="53" t="s">
        <v>38</v>
      </c>
      <c r="Y13" s="53" t="s">
        <v>37</v>
      </c>
      <c r="Z13" s="53" t="s">
        <v>37</v>
      </c>
      <c r="AA13" s="53" t="s">
        <v>38</v>
      </c>
      <c r="AB13" s="53" t="s">
        <v>38</v>
      </c>
      <c r="AC13" s="53" t="s">
        <v>37</v>
      </c>
      <c r="AD13" s="53" t="s">
        <v>38</v>
      </c>
      <c r="AE13" s="53" t="s">
        <v>38</v>
      </c>
      <c r="AF13" s="53" t="s">
        <v>38</v>
      </c>
      <c r="AG13" s="53" t="s">
        <v>38</v>
      </c>
      <c r="AH13" s="53" t="s">
        <v>37</v>
      </c>
      <c r="AI13" s="6" t="s">
        <v>38</v>
      </c>
      <c r="AJ13" s="6" t="s">
        <v>38</v>
      </c>
      <c r="AK13" s="6" t="s">
        <v>37</v>
      </c>
      <c r="AL13" s="6" t="s">
        <v>37</v>
      </c>
      <c r="AM13" s="6" t="s">
        <v>38</v>
      </c>
      <c r="AN13" s="6" t="s">
        <v>37</v>
      </c>
      <c r="AO13" s="6" t="s">
        <v>37</v>
      </c>
      <c r="AP13" s="6" t="s">
        <v>37</v>
      </c>
    </row>
    <row r="14" spans="1:48" x14ac:dyDescent="0.4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M14" s="1"/>
      <c r="N14" s="1"/>
      <c r="P14" s="2">
        <v>4</v>
      </c>
      <c r="Q14" s="8">
        <f t="shared" si="0"/>
        <v>16</v>
      </c>
      <c r="R14" s="8"/>
      <c r="U14" s="5"/>
    </row>
    <row r="15" spans="1:48" ht="17.5" customHeight="1" x14ac:dyDescent="0.45">
      <c r="A15" s="9" t="s">
        <v>30</v>
      </c>
      <c r="B15" s="79">
        <f>B10-15</f>
        <v>1</v>
      </c>
      <c r="C15" s="79"/>
      <c r="D15" s="79">
        <f t="shared" ref="D15:F15" si="10">D10-15</f>
        <v>-13</v>
      </c>
      <c r="E15" s="79"/>
      <c r="F15" s="79">
        <f t="shared" si="10"/>
        <v>-11</v>
      </c>
      <c r="G15" s="79"/>
      <c r="H15" s="79"/>
      <c r="I15" s="79"/>
      <c r="J15" s="79">
        <f t="shared" ref="J15:M15" si="11">J10-15</f>
        <v>-15</v>
      </c>
      <c r="K15" s="79"/>
      <c r="L15" s="11"/>
      <c r="M15" s="79">
        <f t="shared" si="11"/>
        <v>-12</v>
      </c>
      <c r="N15" s="80"/>
      <c r="P15" s="2">
        <v>3</v>
      </c>
      <c r="Q15" s="8">
        <f t="shared" si="0"/>
        <v>8</v>
      </c>
      <c r="R15" s="8"/>
      <c r="U15" s="5"/>
    </row>
    <row r="16" spans="1:48" x14ac:dyDescent="0.45">
      <c r="A16" s="15" t="s">
        <v>26</v>
      </c>
      <c r="B16" s="83" t="str">
        <f>DEC2HEX(B15)</f>
        <v>1</v>
      </c>
      <c r="C16" s="83"/>
      <c r="D16" s="83" t="str">
        <f>DEC2HEX(D15)</f>
        <v>FFFFFFFFF3</v>
      </c>
      <c r="E16" s="83"/>
      <c r="F16" s="83" t="str">
        <f>DEC2HEX(F15)</f>
        <v>FFFFFFFFF5</v>
      </c>
      <c r="G16" s="83"/>
      <c r="H16" s="83"/>
      <c r="I16" s="83"/>
      <c r="J16" s="83" t="str">
        <f>DEC2HEX(J15)</f>
        <v>FFFFFFFFF1</v>
      </c>
      <c r="K16" s="83"/>
      <c r="L16" s="17"/>
      <c r="M16" s="83" t="str">
        <f>DEC2HEX(M15)</f>
        <v>FFFFFFFFF4</v>
      </c>
      <c r="N16" s="84"/>
      <c r="P16" s="2">
        <v>2</v>
      </c>
      <c r="Q16" s="8">
        <f t="shared" si="0"/>
        <v>4</v>
      </c>
      <c r="R16" s="8"/>
      <c r="U16" s="5"/>
    </row>
    <row r="17" spans="1:34" x14ac:dyDescent="0.4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M17" s="1"/>
      <c r="N17" s="1"/>
      <c r="P17" s="2">
        <v>1</v>
      </c>
      <c r="Q17" s="8">
        <f t="shared" si="0"/>
        <v>2</v>
      </c>
      <c r="R17" s="8"/>
      <c r="U17" s="5"/>
    </row>
    <row r="18" spans="1:34" x14ac:dyDescent="0.45">
      <c r="A18" s="50" t="s">
        <v>33</v>
      </c>
      <c r="B18" s="51"/>
      <c r="C18" s="51"/>
      <c r="D18" s="113">
        <v>15</v>
      </c>
      <c r="E18" s="114"/>
      <c r="F18" s="1"/>
      <c r="G18" s="1"/>
      <c r="H18" s="1"/>
      <c r="I18" s="1"/>
      <c r="J18" s="1"/>
      <c r="K18" s="1"/>
      <c r="M18" s="1"/>
      <c r="N18" s="1"/>
      <c r="P18" s="2">
        <v>0</v>
      </c>
      <c r="Q18" s="8">
        <f t="shared" si="0"/>
        <v>1</v>
      </c>
      <c r="R18" s="8"/>
      <c r="U18" s="5"/>
    </row>
    <row r="19" spans="1:34" x14ac:dyDescent="0.4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M19" s="1"/>
      <c r="N19" s="1"/>
      <c r="P19" s="2">
        <v>-1</v>
      </c>
      <c r="Q19" s="8">
        <f t="shared" si="0"/>
        <v>0.5</v>
      </c>
      <c r="R19" s="8"/>
      <c r="U19" s="5" t="s">
        <v>37</v>
      </c>
      <c r="V19" s="6" t="s">
        <v>37</v>
      </c>
      <c r="W19" s="5" t="s">
        <v>37</v>
      </c>
      <c r="X19" s="6" t="s">
        <v>37</v>
      </c>
      <c r="Y19" s="6" t="s">
        <v>37</v>
      </c>
      <c r="Z19" s="6" t="s">
        <v>38</v>
      </c>
      <c r="AA19" s="6" t="s">
        <v>37</v>
      </c>
      <c r="AB19" s="6" t="s">
        <v>37</v>
      </c>
      <c r="AC19" s="6" t="s">
        <v>38</v>
      </c>
      <c r="AD19" s="6" t="s">
        <v>38</v>
      </c>
      <c r="AE19" s="6" t="s">
        <v>37</v>
      </c>
      <c r="AF19" s="6" t="s">
        <v>38</v>
      </c>
      <c r="AG19" s="6" t="s">
        <v>38</v>
      </c>
      <c r="AH19" s="6" t="s">
        <v>38</v>
      </c>
    </row>
    <row r="20" spans="1:34" x14ac:dyDescent="0.45">
      <c r="A20" s="48" t="s">
        <v>34</v>
      </c>
      <c r="B20" s="111"/>
      <c r="C20" s="111"/>
      <c r="D20" s="111">
        <f>B10+D10-D18</f>
        <v>3</v>
      </c>
      <c r="E20" s="112"/>
      <c r="F20" s="1"/>
      <c r="G20" s="1"/>
      <c r="H20" s="1"/>
      <c r="I20" s="1"/>
      <c r="J20" s="1"/>
      <c r="K20" s="1"/>
      <c r="M20" s="1"/>
      <c r="P20" s="2">
        <v>-2</v>
      </c>
      <c r="Q20" s="8">
        <f t="shared" si="0"/>
        <v>0.25</v>
      </c>
      <c r="R20" s="8"/>
      <c r="U20" s="5"/>
    </row>
    <row r="21" spans="1:34" x14ac:dyDescent="0.45">
      <c r="A21" s="49" t="s">
        <v>26</v>
      </c>
      <c r="B21" s="109"/>
      <c r="C21" s="109"/>
      <c r="D21" s="109" t="str">
        <f>DEC2HEX(D20)</f>
        <v>3</v>
      </c>
      <c r="E21" s="110"/>
      <c r="F21" s="1"/>
      <c r="G21" s="1"/>
      <c r="H21" s="1"/>
      <c r="I21" s="1"/>
      <c r="J21" s="1"/>
      <c r="K21" s="1"/>
      <c r="M21" s="1"/>
      <c r="P21" s="2">
        <v>-3</v>
      </c>
      <c r="Q21" s="8">
        <f t="shared" si="0"/>
        <v>0.125</v>
      </c>
      <c r="R21" s="8"/>
      <c r="U21" s="5"/>
    </row>
    <row r="22" spans="1:34" x14ac:dyDescent="0.45">
      <c r="A22" s="1"/>
      <c r="B22" s="7"/>
      <c r="P22" s="2">
        <v>-4</v>
      </c>
      <c r="Q22" s="8">
        <f t="shared" si="0"/>
        <v>6.25E-2</v>
      </c>
      <c r="R22" s="8"/>
      <c r="T22" s="1"/>
      <c r="U22" s="5"/>
    </row>
    <row r="23" spans="1:34" ht="17.5" customHeight="1" x14ac:dyDescent="0.45">
      <c r="A23" s="36" t="s">
        <v>3</v>
      </c>
      <c r="B23" s="97" t="str" cm="1">
        <f t="array" ref="B23">CutBinaryIgnoreSpaces(B7, 3, 1, 10)</f>
        <v>1111101000</v>
      </c>
      <c r="C23" s="97"/>
      <c r="D23" s="97" t="str" cm="1">
        <f t="array" ref="D23">CutBinaryIgnoreSpaces(D7, 3, 1, 10)</f>
        <v>0000001100</v>
      </c>
      <c r="E23" s="97"/>
      <c r="F23" s="97" t="str" cm="1">
        <f t="array" ref="F23">CutBinaryIgnoreSpaces(F7, 3, 1, 10)</f>
        <v>0001110110</v>
      </c>
      <c r="G23" s="97"/>
      <c r="H23" s="97"/>
      <c r="I23" s="97"/>
      <c r="J23" s="97" t="str" cm="1">
        <f t="array" ref="J23">CutBinaryIgnoreSpaces(J7, 3, 1, 10)</f>
        <v>1110110001</v>
      </c>
      <c r="K23" s="97"/>
      <c r="L23" s="37"/>
      <c r="M23" s="97" t="str" cm="1">
        <f t="array" ref="M23">CutBinaryIgnoreSpaces(M7, 3, 1, 10)</f>
        <v>1000000010</v>
      </c>
      <c r="N23" s="98"/>
      <c r="P23" s="2">
        <v>-5</v>
      </c>
      <c r="Q23" s="8">
        <f t="shared" si="0"/>
        <v>3.125E-2</v>
      </c>
      <c r="R23" s="8"/>
      <c r="U23" s="5"/>
    </row>
    <row r="24" spans="1:34" ht="17.5" customHeight="1" x14ac:dyDescent="0.45">
      <c r="A24" s="38"/>
      <c r="B24" s="99" t="str" cm="1">
        <f t="array" ref="B24">InsertSpaceEvery4Chars(B23)</f>
        <v>11 1110 1000</v>
      </c>
      <c r="C24" s="99"/>
      <c r="D24" s="99" t="str" cm="1">
        <f t="array" ref="D24">InsertSpaceEvery4Chars(D23)</f>
        <v>00 0000 1100</v>
      </c>
      <c r="E24" s="99"/>
      <c r="F24" s="99" t="str" cm="1">
        <f t="array" ref="F24">InsertSpaceEvery4Chars(F23)</f>
        <v>00 0111 0110</v>
      </c>
      <c r="G24" s="99"/>
      <c r="H24" s="99"/>
      <c r="I24" s="99"/>
      <c r="J24" s="99" t="str" cm="1">
        <f t="array" ref="J24">InsertSpaceEvery4Chars(J23)</f>
        <v>11 1011 0001</v>
      </c>
      <c r="K24" s="99"/>
      <c r="L24" s="39"/>
      <c r="M24" s="99" t="str" cm="1">
        <f t="array" ref="M24">InsertSpaceEvery4Chars(M23)</f>
        <v>10 0000 0010</v>
      </c>
      <c r="N24" s="100"/>
      <c r="P24" s="2">
        <v>-6</v>
      </c>
      <c r="Q24" s="8">
        <f t="shared" si="0"/>
        <v>1.5625E-2</v>
      </c>
      <c r="R24" s="8"/>
      <c r="U24" s="5"/>
    </row>
    <row r="25" spans="1:34" ht="17.5" customHeight="1" x14ac:dyDescent="0.45">
      <c r="A25" s="40" t="s">
        <v>21</v>
      </c>
      <c r="B25" s="101" t="str" cm="1">
        <f t="array" ref="B25">BinPartsToHex(B23)</f>
        <v>3E8</v>
      </c>
      <c r="C25" s="101"/>
      <c r="D25" s="101" t="str" cm="1">
        <f t="array" ref="D25">BinPartsToHex(D23)</f>
        <v>C</v>
      </c>
      <c r="E25" s="101"/>
      <c r="F25" s="101" t="str" cm="1">
        <f t="array" ref="F25">BinPartsToHex(F23)</f>
        <v>76</v>
      </c>
      <c r="G25" s="101"/>
      <c r="H25" s="101"/>
      <c r="I25" s="101"/>
      <c r="J25" s="101" t="str" cm="1">
        <f t="array" ref="J25">BinPartsToHex(J23)</f>
        <v>3B1</v>
      </c>
      <c r="K25" s="101"/>
      <c r="L25" s="41"/>
      <c r="M25" s="101" t="str" cm="1">
        <f t="array" ref="M25">BinPartsToHex(M23)</f>
        <v>202</v>
      </c>
      <c r="N25" s="102"/>
      <c r="P25" s="2">
        <v>-7</v>
      </c>
      <c r="Q25" s="8">
        <f t="shared" si="0"/>
        <v>7.8125E-3</v>
      </c>
      <c r="R25" s="8"/>
      <c r="U25" s="5"/>
    </row>
    <row r="26" spans="1:34" ht="17.5" customHeight="1" x14ac:dyDescent="0.4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M26" s="1"/>
      <c r="N26" s="1"/>
      <c r="P26" s="2">
        <v>-8</v>
      </c>
      <c r="Q26" s="8">
        <f t="shared" si="0"/>
        <v>3.90625E-3</v>
      </c>
      <c r="R26" s="8"/>
      <c r="U26" s="5"/>
    </row>
    <row r="27" spans="1:34" ht="17.5" customHeight="1" x14ac:dyDescent="0.45">
      <c r="A27" s="42" t="s">
        <v>10</v>
      </c>
      <c r="B27" s="103" t="str" cm="1">
        <f t="array" ref="B27">IF(B10&lt;&gt;0, AddOneToLeftOfBinary(B23), "0"&amp;B23)</f>
        <v>11111101000</v>
      </c>
      <c r="C27" s="103"/>
      <c r="D27" s="103" t="str" cm="1">
        <f t="array" ref="D27">IF(D10&lt;&gt;0, AddOneToLeftOfBinary(D23), "0"&amp;D23)</f>
        <v>10000001100</v>
      </c>
      <c r="E27" s="103"/>
      <c r="F27" s="103" t="str" cm="1">
        <f t="array" ref="F27">IF(F10&lt;&gt;0, AddOneToLeftOfBinary(F23), "0"&amp;F23)</f>
        <v>10001110110</v>
      </c>
      <c r="G27" s="103"/>
      <c r="H27" s="103"/>
      <c r="I27" s="103"/>
      <c r="J27" s="103" t="str" cm="1">
        <f t="array" ref="J27">IF(J10&lt;&gt;0, AddOneToLeftOfBinary(J23), "0"&amp;J23)</f>
        <v>01110110001</v>
      </c>
      <c r="K27" s="103"/>
      <c r="L27" s="43"/>
      <c r="M27" s="103" t="str" cm="1">
        <f t="array" ref="M27">IF(M10&lt;&gt;0, AddOneToLeftOfBinary(M23), "0"&amp;M23)</f>
        <v>11000000010</v>
      </c>
      <c r="N27" s="104"/>
      <c r="P27" s="2">
        <v>-9</v>
      </c>
      <c r="Q27" s="8">
        <f t="shared" si="0"/>
        <v>1.953125E-3</v>
      </c>
      <c r="R27" s="8"/>
    </row>
    <row r="28" spans="1:34" ht="17.5" customHeight="1" x14ac:dyDescent="0.45">
      <c r="A28" s="44"/>
      <c r="B28" s="105" t="str" cm="1">
        <f t="array" ref="B28">InsertSpaceEvery4Chars(B27)</f>
        <v>111 1110 1000</v>
      </c>
      <c r="C28" s="105"/>
      <c r="D28" s="105" t="str" cm="1">
        <f t="array" ref="D28">InsertSpaceEvery4Chars(D27)</f>
        <v>100 0000 1100</v>
      </c>
      <c r="E28" s="105"/>
      <c r="F28" s="105" t="str" cm="1">
        <f t="array" ref="F28">InsertSpaceEvery4Chars(F27)</f>
        <v>100 0111 0110</v>
      </c>
      <c r="G28" s="105"/>
      <c r="H28" s="105"/>
      <c r="I28" s="105"/>
      <c r="J28" s="105" t="str" cm="1">
        <f t="array" ref="J28">InsertSpaceEvery4Chars(J27)</f>
        <v>011 1011 0001</v>
      </c>
      <c r="K28" s="105"/>
      <c r="L28" s="45"/>
      <c r="M28" s="105" t="str" cm="1">
        <f t="array" ref="M28">InsertSpaceEvery4Chars(M27)</f>
        <v>110 0000 0010</v>
      </c>
      <c r="N28" s="106"/>
      <c r="P28" s="2">
        <v>-10</v>
      </c>
      <c r="Q28" s="8">
        <f t="shared" si="0"/>
        <v>9.765625E-4</v>
      </c>
      <c r="R28" s="8"/>
      <c r="T28" s="1"/>
    </row>
    <row r="29" spans="1:34" ht="17.5" customHeight="1" x14ac:dyDescent="0.45">
      <c r="A29" s="46" t="s">
        <v>21</v>
      </c>
      <c r="B29" s="107" t="str" cm="1">
        <f t="array" ref="B29">BinPartsToHex(B27)</f>
        <v>7E8</v>
      </c>
      <c r="C29" s="107"/>
      <c r="D29" s="107" t="str" cm="1">
        <f t="array" ref="D29">BinPartsToHex(D27)</f>
        <v>40C</v>
      </c>
      <c r="E29" s="107"/>
      <c r="F29" s="107" t="str" cm="1">
        <f t="array" ref="F29">BinPartsToHex(F27)</f>
        <v>476</v>
      </c>
      <c r="G29" s="107"/>
      <c r="H29" s="107"/>
      <c r="I29" s="107"/>
      <c r="J29" s="107" t="str" cm="1">
        <f t="array" ref="J29">BinPartsToHex(J27)</f>
        <v>3B1</v>
      </c>
      <c r="K29" s="107"/>
      <c r="L29" s="47"/>
      <c r="M29" s="107" t="str" cm="1">
        <f t="array" ref="M29">BinPartsToHex(M27)</f>
        <v>602</v>
      </c>
      <c r="N29" s="108"/>
      <c r="P29" s="2">
        <v>-11</v>
      </c>
      <c r="Q29" s="8">
        <f t="shared" si="0"/>
        <v>4.8828125E-4</v>
      </c>
      <c r="R29" s="8"/>
    </row>
    <row r="30" spans="1:34" x14ac:dyDescent="0.45">
      <c r="A30" s="1"/>
      <c r="M30" s="1"/>
      <c r="P30" s="2">
        <v>-12</v>
      </c>
      <c r="Q30" s="8">
        <f t="shared" si="0"/>
        <v>2.44140625E-4</v>
      </c>
      <c r="R30" s="8"/>
      <c r="U30" s="5"/>
    </row>
    <row r="31" spans="1:34" x14ac:dyDescent="0.45">
      <c r="A31" s="42" t="s">
        <v>35</v>
      </c>
      <c r="B31" s="103" t="str" cm="1">
        <f t="array" ref="B31">MultiplyBinaryN(B27,D27, 22)</f>
        <v>0111111111111011100000</v>
      </c>
      <c r="C31" s="103"/>
      <c r="D31" s="103"/>
      <c r="E31" s="104"/>
      <c r="F31" s="1"/>
      <c r="G31" s="1"/>
      <c r="H31" s="1"/>
      <c r="I31" s="1"/>
      <c r="J31" s="1"/>
      <c r="K31" s="1"/>
      <c r="P31" s="2">
        <v>-13</v>
      </c>
      <c r="Q31" s="8">
        <f t="shared" si="0"/>
        <v>1.220703125E-4</v>
      </c>
      <c r="R31" s="8"/>
    </row>
    <row r="32" spans="1:34" x14ac:dyDescent="0.45">
      <c r="A32" s="44"/>
      <c r="B32" s="105" t="str" cm="1">
        <f t="array" ref="B32">InsertSpaceEvery4Chars(B31)</f>
        <v>01 1111 1111 1110 1110 0000</v>
      </c>
      <c r="C32" s="105"/>
      <c r="D32" s="105"/>
      <c r="E32" s="106"/>
      <c r="F32" s="1"/>
      <c r="G32" s="1"/>
      <c r="H32" s="1"/>
      <c r="I32" s="1"/>
      <c r="J32" s="1"/>
      <c r="K32" s="1"/>
      <c r="P32" s="2">
        <v>-14</v>
      </c>
      <c r="Q32" s="8">
        <f t="shared" si="0"/>
        <v>6.103515625E-5</v>
      </c>
      <c r="R32" s="8"/>
    </row>
    <row r="33" spans="1:18" x14ac:dyDescent="0.45">
      <c r="A33" s="46" t="s">
        <v>21</v>
      </c>
      <c r="B33" s="107" t="str" cm="1">
        <f t="array" ref="B33">BinPartsToHex(B32)</f>
        <v>1FFEE0</v>
      </c>
      <c r="C33" s="107"/>
      <c r="D33" s="107"/>
      <c r="E33" s="108"/>
      <c r="F33" s="1"/>
      <c r="G33" s="1"/>
      <c r="H33" s="1"/>
      <c r="I33" s="1"/>
      <c r="J33" s="1"/>
      <c r="K33" s="1"/>
      <c r="P33" s="2">
        <v>-15</v>
      </c>
      <c r="Q33" s="8">
        <f t="shared" si="0"/>
        <v>3.0517578125E-5</v>
      </c>
      <c r="R33" s="8"/>
    </row>
    <row r="34" spans="1:18" x14ac:dyDescent="0.45">
      <c r="A34" s="1"/>
      <c r="C34" s="1"/>
      <c r="D34" s="1"/>
      <c r="E34" s="1"/>
      <c r="F34" s="1"/>
      <c r="G34" s="1"/>
      <c r="H34" s="1"/>
      <c r="I34" s="1"/>
      <c r="J34" s="1"/>
      <c r="K34" s="1"/>
      <c r="P34" s="2">
        <v>-16</v>
      </c>
      <c r="Q34" s="8">
        <f t="shared" si="0"/>
        <v>1.52587890625E-5</v>
      </c>
      <c r="R34" s="8"/>
    </row>
    <row r="35" spans="1:18" x14ac:dyDescent="0.45">
      <c r="A35" s="28" t="s">
        <v>47</v>
      </c>
      <c r="B35" s="29"/>
      <c r="C35" s="29"/>
      <c r="D35" s="35"/>
      <c r="E35" s="30" cm="1">
        <f t="array" ref="E35">FindFirstOnePosition(B31)-1</f>
        <v>1</v>
      </c>
      <c r="F35" s="1"/>
      <c r="G35" s="1"/>
      <c r="H35" s="1"/>
      <c r="I35" s="1"/>
      <c r="P35" s="2">
        <v>-17</v>
      </c>
      <c r="Q35" s="8">
        <f t="shared" si="0"/>
        <v>7.62939453125E-6</v>
      </c>
      <c r="R35" s="8"/>
    </row>
    <row r="36" spans="1:18" x14ac:dyDescent="0.45">
      <c r="A36" s="1"/>
      <c r="C36" s="1"/>
      <c r="D36" s="1"/>
      <c r="M36" s="2" t="s">
        <v>21</v>
      </c>
      <c r="N36" s="1" t="s">
        <v>96</v>
      </c>
      <c r="P36" s="2">
        <v>-18</v>
      </c>
      <c r="Q36" s="8">
        <f t="shared" si="0"/>
        <v>3.814697265625E-6</v>
      </c>
      <c r="R36" s="8"/>
    </row>
    <row r="37" spans="1:18" ht="17.5" customHeight="1" x14ac:dyDescent="0.45">
      <c r="A37" s="9" t="s">
        <v>16</v>
      </c>
      <c r="B37" s="79" t="str">
        <f>MID(B31, 1, 14)</f>
        <v>01111111111110</v>
      </c>
      <c r="C37" s="79"/>
      <c r="D37" s="79"/>
      <c r="E37" s="80"/>
      <c r="F37" s="1"/>
      <c r="G37" s="1"/>
      <c r="H37" s="1"/>
      <c r="I37" s="1"/>
      <c r="N37" s="1" t="str" cm="1">
        <f t="array" ref="N37">(MY_HEX2BIN(N36))</f>
        <v>000110100111100010001110</v>
      </c>
      <c r="P37" s="2">
        <v>-19</v>
      </c>
      <c r="Q37" s="8">
        <f t="shared" si="0"/>
        <v>1.9073486328125E-6</v>
      </c>
      <c r="R37" s="8"/>
    </row>
    <row r="38" spans="1:18" ht="17.5" customHeight="1" x14ac:dyDescent="0.45">
      <c r="A38" s="13"/>
      <c r="B38" s="81" t="str" cm="1">
        <f t="array" ref="B38">InsertSpaceEvery4Chars(B37)</f>
        <v>01 1111 1111 1110</v>
      </c>
      <c r="C38" s="81"/>
      <c r="D38" s="81"/>
      <c r="E38" s="82"/>
      <c r="F38" s="1"/>
      <c r="G38" s="1"/>
      <c r="H38" s="1"/>
      <c r="I38" s="1"/>
      <c r="N38" s="1" t="str" cm="1">
        <f t="array" ref="N38">InsertSpaceEvery4Chars(N37)</f>
        <v>0001 1010 0111 1000 1000 1110</v>
      </c>
      <c r="P38" s="2">
        <v>-20</v>
      </c>
      <c r="Q38" s="8">
        <f t="shared" si="0"/>
        <v>9.5367431640625E-7</v>
      </c>
      <c r="R38" s="8"/>
    </row>
    <row r="39" spans="1:18" ht="17.5" customHeight="1" x14ac:dyDescent="0.45">
      <c r="A39" s="15" t="s">
        <v>21</v>
      </c>
      <c r="B39" s="83" t="str" cm="1">
        <f t="array" ref="B39">BinPartsToHex(B38)</f>
        <v>1FFE</v>
      </c>
      <c r="C39" s="83"/>
      <c r="D39" s="83"/>
      <c r="E39" s="84"/>
      <c r="F39" s="1"/>
      <c r="G39" s="1"/>
      <c r="H39" s="1"/>
      <c r="I39" s="1"/>
      <c r="L39" s="2" t="s">
        <v>32</v>
      </c>
      <c r="P39" s="2">
        <v>-21</v>
      </c>
      <c r="Q39" s="8">
        <f t="shared" si="0"/>
        <v>4.76837158203125E-7</v>
      </c>
      <c r="R39" s="8"/>
    </row>
    <row r="40" spans="1:18" x14ac:dyDescent="0.45">
      <c r="A40" s="1"/>
      <c r="P40" s="2">
        <v>-22</v>
      </c>
      <c r="Q40" s="8">
        <f t="shared" si="0"/>
        <v>2.384185791015625E-7</v>
      </c>
    </row>
    <row r="41" spans="1:18" x14ac:dyDescent="0.45">
      <c r="A41" s="9" t="s">
        <v>12</v>
      </c>
      <c r="B41" s="25"/>
      <c r="C41" s="10"/>
      <c r="D41" s="11"/>
      <c r="E41" s="12" t="str">
        <f>MID(RIGHT(B37, 4), 1, 1)</f>
        <v>1</v>
      </c>
      <c r="F41" s="1"/>
      <c r="G41" s="1"/>
      <c r="H41" s="1"/>
      <c r="I41" s="1"/>
      <c r="P41" s="2">
        <v>-23</v>
      </c>
      <c r="Q41" s="8">
        <f t="shared" si="0"/>
        <v>1.1920928955078125E-7</v>
      </c>
    </row>
    <row r="42" spans="1:18" x14ac:dyDescent="0.45">
      <c r="A42" s="13" t="s">
        <v>7</v>
      </c>
      <c r="B42" s="26"/>
      <c r="C42" s="1"/>
      <c r="D42" s="1"/>
      <c r="E42" s="14" t="str">
        <f>MID(RIGHT(B37, 3), 1, 1)</f>
        <v>1</v>
      </c>
      <c r="F42" s="1"/>
      <c r="G42" s="1"/>
      <c r="H42" s="1"/>
      <c r="I42" s="1"/>
      <c r="P42" s="2">
        <v>-24</v>
      </c>
      <c r="Q42" s="8">
        <f t="shared" si="0"/>
        <v>5.9604644775390625E-8</v>
      </c>
    </row>
    <row r="43" spans="1:18" x14ac:dyDescent="0.45">
      <c r="A43" s="13" t="s">
        <v>8</v>
      </c>
      <c r="B43" s="26"/>
      <c r="C43" s="1"/>
      <c r="D43" s="1"/>
      <c r="E43" s="14" t="str">
        <f>MID(RIGHT(B37, 2), 1, 1)</f>
        <v>1</v>
      </c>
      <c r="F43" s="1"/>
      <c r="G43" s="1"/>
      <c r="H43" s="1"/>
      <c r="I43" s="1"/>
    </row>
    <row r="44" spans="1:18" x14ac:dyDescent="0.45">
      <c r="A44" s="15" t="s">
        <v>9</v>
      </c>
      <c r="B44" s="27"/>
      <c r="C44" s="16"/>
      <c r="D44" s="16"/>
      <c r="E44" s="18" t="str">
        <f>MID(RIGHT(B37, 1), 1, 1)</f>
        <v>0</v>
      </c>
      <c r="F44" s="1"/>
      <c r="G44" s="1"/>
      <c r="H44" s="1"/>
      <c r="I44" s="1"/>
    </row>
    <row r="45" spans="1:18" x14ac:dyDescent="0.45">
      <c r="A45" s="1"/>
    </row>
    <row r="46" spans="1:18" x14ac:dyDescent="0.45">
      <c r="A46" s="9" t="s">
        <v>22</v>
      </c>
      <c r="B46" s="11"/>
      <c r="C46" s="10"/>
      <c r="D46" s="10"/>
      <c r="E46" s="12" t="str" cm="1">
        <f t="array" ref="E46">AlignBitsBin(B37,E41,E42,E43,E44)</f>
        <v>10000000000</v>
      </c>
      <c r="F46" s="1"/>
      <c r="G46" s="1"/>
      <c r="H46" s="1"/>
      <c r="I46" s="1"/>
    </row>
    <row r="47" spans="1:18" x14ac:dyDescent="0.45">
      <c r="A47" s="31"/>
      <c r="C47" s="1"/>
      <c r="D47" s="1"/>
      <c r="E47" s="14" t="str" cm="1">
        <f t="array" ref="E47">InsertSpaceEvery4Chars(E46)</f>
        <v>100 0000 0000</v>
      </c>
      <c r="F47" s="1"/>
      <c r="G47" s="1"/>
      <c r="H47" s="1"/>
      <c r="I47" s="1"/>
      <c r="J47" s="2" t="s">
        <v>31</v>
      </c>
      <c r="K47" s="91">
        <f>B3*D3</f>
        <v>-4.8821419477462769E-4</v>
      </c>
      <c r="L47" s="92"/>
    </row>
    <row r="48" spans="1:18" x14ac:dyDescent="0.45">
      <c r="A48" s="15" t="s">
        <v>21</v>
      </c>
      <c r="B48" s="17"/>
      <c r="C48" s="16"/>
      <c r="D48" s="16"/>
      <c r="E48" s="18" t="str" cm="1">
        <f t="array" ref="E48">BinPartsToHex(E47)</f>
        <v>400</v>
      </c>
      <c r="F48" s="1"/>
      <c r="G48" s="1"/>
      <c r="H48" s="1"/>
      <c r="I48" s="1"/>
      <c r="J48" s="2" t="s">
        <v>94</v>
      </c>
      <c r="K48" s="91">
        <f>K47+F3</f>
        <v>5.6333839893341064E-5</v>
      </c>
      <c r="L48" s="92">
        <f>K47+F3</f>
        <v>5.6333839893341064E-5</v>
      </c>
    </row>
    <row r="49" spans="5:12" x14ac:dyDescent="0.45">
      <c r="K49" s="91">
        <f>B3*D3+F3</f>
        <v>5.6333839893341064E-5</v>
      </c>
      <c r="L49" s="92"/>
    </row>
    <row r="50" spans="5:12" x14ac:dyDescent="0.45">
      <c r="E50" s="1"/>
      <c r="F50" s="1"/>
      <c r="G50" s="1"/>
      <c r="H50" s="1"/>
      <c r="I50" s="1"/>
    </row>
  </sheetData>
  <mergeCells count="116">
    <mergeCell ref="B1:C1"/>
    <mergeCell ref="D1:E1"/>
    <mergeCell ref="J1:K1"/>
    <mergeCell ref="M1:N1"/>
    <mergeCell ref="B2:C2"/>
    <mergeCell ref="D2:E2"/>
    <mergeCell ref="J2:K2"/>
    <mergeCell ref="M2:N2"/>
    <mergeCell ref="F1:G1"/>
    <mergeCell ref="F2:G2"/>
    <mergeCell ref="H1:I1"/>
    <mergeCell ref="H2:I2"/>
    <mergeCell ref="B3:C3"/>
    <mergeCell ref="D3:E3"/>
    <mergeCell ref="J3:K3"/>
    <mergeCell ref="M3:N3"/>
    <mergeCell ref="B4:C4"/>
    <mergeCell ref="D4:E4"/>
    <mergeCell ref="J4:K4"/>
    <mergeCell ref="M4:N4"/>
    <mergeCell ref="F3:G3"/>
    <mergeCell ref="F4:G4"/>
    <mergeCell ref="H3:I3"/>
    <mergeCell ref="H4:I4"/>
    <mergeCell ref="B5:C5"/>
    <mergeCell ref="D5:E5"/>
    <mergeCell ref="J5:K5"/>
    <mergeCell ref="M5:N5"/>
    <mergeCell ref="B6:C6"/>
    <mergeCell ref="D6:E6"/>
    <mergeCell ref="J6:K6"/>
    <mergeCell ref="M6:N6"/>
    <mergeCell ref="F6:G6"/>
    <mergeCell ref="F5:G5"/>
    <mergeCell ref="H5:I5"/>
    <mergeCell ref="H6:I6"/>
    <mergeCell ref="B7:C7"/>
    <mergeCell ref="D7:E7"/>
    <mergeCell ref="J7:K7"/>
    <mergeCell ref="M7:N7"/>
    <mergeCell ref="B8:C8"/>
    <mergeCell ref="D8:E8"/>
    <mergeCell ref="J8:K8"/>
    <mergeCell ref="M8:N8"/>
    <mergeCell ref="F7:G7"/>
    <mergeCell ref="F8:G8"/>
    <mergeCell ref="H7:I7"/>
    <mergeCell ref="H8:I8"/>
    <mergeCell ref="B13:C13"/>
    <mergeCell ref="D13:E13"/>
    <mergeCell ref="B16:C16"/>
    <mergeCell ref="D16:E16"/>
    <mergeCell ref="J13:K13"/>
    <mergeCell ref="M13:N13"/>
    <mergeCell ref="B15:C15"/>
    <mergeCell ref="D15:E15"/>
    <mergeCell ref="J15:K15"/>
    <mergeCell ref="M15:N15"/>
    <mergeCell ref="F13:G13"/>
    <mergeCell ref="F15:G15"/>
    <mergeCell ref="H13:I13"/>
    <mergeCell ref="H15:I15"/>
    <mergeCell ref="B21:C21"/>
    <mergeCell ref="D21:E21"/>
    <mergeCell ref="B23:C23"/>
    <mergeCell ref="D23:E23"/>
    <mergeCell ref="J23:K23"/>
    <mergeCell ref="F23:G23"/>
    <mergeCell ref="H23:I23"/>
    <mergeCell ref="J16:K16"/>
    <mergeCell ref="M16:N16"/>
    <mergeCell ref="D18:E18"/>
    <mergeCell ref="M23:N23"/>
    <mergeCell ref="H16:I16"/>
    <mergeCell ref="B20:C20"/>
    <mergeCell ref="D20:E20"/>
    <mergeCell ref="F16:G16"/>
    <mergeCell ref="M29:N29"/>
    <mergeCell ref="J27:K27"/>
    <mergeCell ref="M27:N27"/>
    <mergeCell ref="J28:K28"/>
    <mergeCell ref="M28:N28"/>
    <mergeCell ref="B31:E31"/>
    <mergeCell ref="B32:E32"/>
    <mergeCell ref="F29:G29"/>
    <mergeCell ref="B27:C27"/>
    <mergeCell ref="D27:E27"/>
    <mergeCell ref="B28:C28"/>
    <mergeCell ref="D28:E28"/>
    <mergeCell ref="F27:G27"/>
    <mergeCell ref="F28:G28"/>
    <mergeCell ref="B29:C29"/>
    <mergeCell ref="D29:E29"/>
    <mergeCell ref="B24:C24"/>
    <mergeCell ref="D24:E24"/>
    <mergeCell ref="J24:K24"/>
    <mergeCell ref="M24:N24"/>
    <mergeCell ref="B25:C25"/>
    <mergeCell ref="D25:E25"/>
    <mergeCell ref="J25:K25"/>
    <mergeCell ref="H24:I24"/>
    <mergeCell ref="H25:I25"/>
    <mergeCell ref="M25:N25"/>
    <mergeCell ref="F24:G24"/>
    <mergeCell ref="F25:G25"/>
    <mergeCell ref="H27:I27"/>
    <mergeCell ref="H28:I28"/>
    <mergeCell ref="H29:I29"/>
    <mergeCell ref="K47:L47"/>
    <mergeCell ref="K48:L48"/>
    <mergeCell ref="K49:L49"/>
    <mergeCell ref="B33:E33"/>
    <mergeCell ref="B37:E37"/>
    <mergeCell ref="B38:E38"/>
    <mergeCell ref="B39:E39"/>
    <mergeCell ref="J29:K29"/>
  </mergeCells>
  <phoneticPr fontId="1" type="noConversion"/>
  <conditionalFormatting sqref="B13:K13">
    <cfRule type="cellIs" dxfId="5" priority="5" operator="equal">
      <formula>"NaN"</formula>
    </cfRule>
    <cfRule type="cellIs" dxfId="4" priority="6" operator="equal">
      <formula>"Denormal"</formula>
    </cfRule>
  </conditionalFormatting>
  <conditionalFormatting sqref="B13:K13">
    <cfRule type="cellIs" dxfId="3" priority="4" operator="equal">
      <formula>"Infinite"</formula>
    </cfRule>
  </conditionalFormatting>
  <conditionalFormatting sqref="M13:N13">
    <cfRule type="cellIs" dxfId="2" priority="2" operator="equal">
      <formula>"NaN"</formula>
    </cfRule>
    <cfRule type="cellIs" dxfId="1" priority="3" operator="equal">
      <formula>"Denormal"</formula>
    </cfRule>
  </conditionalFormatting>
  <conditionalFormatting sqref="M13:N13">
    <cfRule type="cellIs" dxfId="0" priority="1" operator="equal">
      <formula>"Infinite"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1F16C5-2C57-4082-9800-F70F77BED7AD}">
  <sheetPr codeName="Sheet4"/>
  <dimension ref="B2:K46"/>
  <sheetViews>
    <sheetView showGridLines="0" zoomScale="85" zoomScaleNormal="85" workbookViewId="0">
      <selection activeCell="B9" sqref="B9"/>
    </sheetView>
  </sheetViews>
  <sheetFormatPr defaultRowHeight="15.5" x14ac:dyDescent="0.45"/>
  <cols>
    <col min="1" max="1" width="2.84375" style="2" customWidth="1"/>
    <col min="2" max="2" width="23.15234375" style="2" bestFit="1" customWidth="1"/>
    <col min="3" max="4" width="19.23046875" style="2" bestFit="1" customWidth="1"/>
    <col min="5" max="5" width="18.23046875" style="2" bestFit="1" customWidth="1"/>
    <col min="6" max="6" width="15.3046875" style="2" bestFit="1" customWidth="1"/>
    <col min="7" max="9" width="21.23046875" style="2" customWidth="1"/>
    <col min="10" max="10" width="16.69140625" style="2" customWidth="1"/>
    <col min="11" max="11" width="33" style="2" bestFit="1" customWidth="1"/>
    <col min="12" max="12" width="15.3828125" style="2" customWidth="1"/>
    <col min="13" max="15" width="25.84375" style="2" customWidth="1"/>
    <col min="16" max="16384" width="9.23046875" style="2"/>
  </cols>
  <sheetData>
    <row r="2" spans="2:11" x14ac:dyDescent="0.45">
      <c r="B2" s="69" t="s">
        <v>51</v>
      </c>
      <c r="C2" s="11"/>
      <c r="D2" s="70" t="s">
        <v>50</v>
      </c>
      <c r="E2" s="11"/>
      <c r="F2" s="71" t="s">
        <v>3</v>
      </c>
      <c r="G2" s="72" t="s">
        <v>52</v>
      </c>
      <c r="I2" s="75" t="s">
        <v>64</v>
      </c>
      <c r="J2" s="73" t="s">
        <v>65</v>
      </c>
    </row>
    <row r="3" spans="2:11" x14ac:dyDescent="0.45">
      <c r="B3" s="15">
        <v>1</v>
      </c>
      <c r="C3" s="16"/>
      <c r="D3" s="16">
        <v>5</v>
      </c>
      <c r="E3" s="16"/>
      <c r="F3" s="16">
        <v>10</v>
      </c>
      <c r="G3" s="18">
        <f>SUM(B3:F3)</f>
        <v>16</v>
      </c>
      <c r="I3" s="76" cm="1">
        <f t="array" ref="I3">SumOfBits(C9, F3+1)</f>
        <v>127.9375</v>
      </c>
      <c r="J3" s="74">
        <f>POWER(2, D9)</f>
        <v>5.9604644775390625E-8</v>
      </c>
    </row>
    <row r="4" spans="2:11" x14ac:dyDescent="0.45">
      <c r="B4" s="26"/>
      <c r="C4" s="26"/>
      <c r="D4" s="26"/>
      <c r="E4" s="26"/>
      <c r="F4" s="26"/>
      <c r="G4" s="26"/>
      <c r="H4" s="26"/>
    </row>
    <row r="5" spans="2:11" x14ac:dyDescent="0.45">
      <c r="C5" s="66" t="s">
        <v>58</v>
      </c>
      <c r="D5" s="66" t="s">
        <v>57</v>
      </c>
      <c r="E5" s="58" t="s">
        <v>55</v>
      </c>
      <c r="F5" s="58" t="s">
        <v>56</v>
      </c>
    </row>
    <row r="6" spans="2:11" x14ac:dyDescent="0.45">
      <c r="C6" s="1">
        <f>POWER(2, D3) - 1</f>
        <v>31</v>
      </c>
      <c r="D6" s="1">
        <v>0</v>
      </c>
      <c r="E6" s="1">
        <f>POWER(2, F3) - 1</f>
        <v>1023</v>
      </c>
      <c r="F6" s="1">
        <v>0</v>
      </c>
    </row>
    <row r="7" spans="2:11" x14ac:dyDescent="0.45">
      <c r="B7" s="26"/>
      <c r="C7" s="26"/>
      <c r="D7" s="26"/>
      <c r="E7" s="26"/>
    </row>
    <row r="8" spans="2:11" x14ac:dyDescent="0.45">
      <c r="B8" s="68" t="s">
        <v>61</v>
      </c>
      <c r="C8" s="66" t="s">
        <v>59</v>
      </c>
      <c r="D8" s="66" t="s">
        <v>60</v>
      </c>
      <c r="E8" s="58" t="s">
        <v>62</v>
      </c>
      <c r="F8" s="58" t="s">
        <v>63</v>
      </c>
    </row>
    <row r="9" spans="2:11" x14ac:dyDescent="0.45">
      <c r="B9" s="1">
        <v>25</v>
      </c>
      <c r="C9" s="1">
        <f>C6-B9</f>
        <v>6</v>
      </c>
      <c r="D9" s="1">
        <f>D6-B9+1</f>
        <v>-24</v>
      </c>
      <c r="E9" s="1">
        <f>POWER(2, F3+1) - 1</f>
        <v>2047</v>
      </c>
      <c r="F9" s="1">
        <f>POWER(2, F3)</f>
        <v>1024</v>
      </c>
    </row>
    <row r="10" spans="2:11" x14ac:dyDescent="0.45">
      <c r="B10" s="26"/>
      <c r="C10" s="26"/>
      <c r="D10" s="26"/>
      <c r="E10" s="26"/>
      <c r="F10" s="26"/>
      <c r="G10" s="26"/>
      <c r="H10" s="26"/>
    </row>
    <row r="11" spans="2:11" x14ac:dyDescent="0.45">
      <c r="B11" s="26"/>
      <c r="G11" s="26"/>
      <c r="H11" s="26"/>
    </row>
    <row r="12" spans="2:11" x14ac:dyDescent="0.45">
      <c r="B12" s="26"/>
      <c r="H12" s="26"/>
    </row>
    <row r="14" spans="2:11" x14ac:dyDescent="0.45">
      <c r="B14" s="67" t="s">
        <v>53</v>
      </c>
      <c r="C14" s="67" t="s">
        <v>54</v>
      </c>
      <c r="E14" s="67" t="s">
        <v>69</v>
      </c>
      <c r="G14" s="67" t="s">
        <v>66</v>
      </c>
      <c r="H14" s="67" t="s">
        <v>67</v>
      </c>
      <c r="I14" s="67" t="s">
        <v>68</v>
      </c>
      <c r="K14" s="62" t="s">
        <v>40</v>
      </c>
    </row>
    <row r="15" spans="2:11" x14ac:dyDescent="0.45">
      <c r="B15" s="26">
        <f>C6</f>
        <v>31</v>
      </c>
      <c r="C15" s="57">
        <f>B15-$B$9</f>
        <v>6</v>
      </c>
      <c r="E15" s="26">
        <v>0</v>
      </c>
      <c r="G15" s="78" cm="1">
        <f t="array" ref="G15">SumOfBits(C15, $F$3+1)</f>
        <v>127.9375</v>
      </c>
      <c r="H15" s="78">
        <f t="shared" ref="H15:H45" si="0">POWER(2,C15)</f>
        <v>64</v>
      </c>
      <c r="I15" s="78">
        <f t="shared" ref="I15:I45" si="1">POWER(2, C15-$F$3)</f>
        <v>6.25E-2</v>
      </c>
      <c r="K15" s="26" t="s">
        <v>41</v>
      </c>
    </row>
    <row r="16" spans="2:11" x14ac:dyDescent="0.45">
      <c r="B16" s="26">
        <f>B15-1</f>
        <v>30</v>
      </c>
      <c r="C16" s="57">
        <f t="shared" ref="C16:C45" si="2">B16-$B$9</f>
        <v>5</v>
      </c>
      <c r="E16" s="26">
        <v>0</v>
      </c>
      <c r="G16" s="78" cm="1">
        <f t="array" ref="G16">SumOfBits(C16, $F$3+1)</f>
        <v>63.96875</v>
      </c>
      <c r="H16" s="78">
        <f t="shared" si="0"/>
        <v>32</v>
      </c>
      <c r="I16" s="78">
        <f t="shared" si="1"/>
        <v>3.125E-2</v>
      </c>
      <c r="K16" s="26" t="s">
        <v>41</v>
      </c>
    </row>
    <row r="17" spans="2:11" x14ac:dyDescent="0.45">
      <c r="B17" s="26">
        <f>B16-1</f>
        <v>29</v>
      </c>
      <c r="C17" s="57">
        <f t="shared" si="2"/>
        <v>4</v>
      </c>
      <c r="E17" s="26">
        <v>0</v>
      </c>
      <c r="G17" s="78" cm="1">
        <f t="array" ref="G17">SumOfBits(C17, $F$3+1)</f>
        <v>31.984375</v>
      </c>
      <c r="H17" s="78">
        <f t="shared" si="0"/>
        <v>16</v>
      </c>
      <c r="I17" s="78">
        <f t="shared" si="1"/>
        <v>1.5625E-2</v>
      </c>
      <c r="K17" s="26" t="s">
        <v>41</v>
      </c>
    </row>
    <row r="18" spans="2:11" x14ac:dyDescent="0.45">
      <c r="B18" s="26">
        <f t="shared" ref="B18:B46" si="3">B17-1</f>
        <v>28</v>
      </c>
      <c r="C18" s="57">
        <f t="shared" si="2"/>
        <v>3</v>
      </c>
      <c r="E18" s="26">
        <v>0</v>
      </c>
      <c r="G18" s="78" cm="1">
        <f t="array" ref="G18">SumOfBits(C18, $F$3+1)</f>
        <v>15.9921875</v>
      </c>
      <c r="H18" s="78">
        <f t="shared" si="0"/>
        <v>8</v>
      </c>
      <c r="I18" s="78">
        <f t="shared" si="1"/>
        <v>7.8125E-3</v>
      </c>
      <c r="K18" s="26" t="s">
        <v>41</v>
      </c>
    </row>
    <row r="19" spans="2:11" x14ac:dyDescent="0.45">
      <c r="B19" s="26">
        <f t="shared" si="3"/>
        <v>27</v>
      </c>
      <c r="C19" s="57">
        <f t="shared" si="2"/>
        <v>2</v>
      </c>
      <c r="E19" s="26">
        <v>0</v>
      </c>
      <c r="G19" s="78" cm="1">
        <f t="array" ref="G19">SumOfBits(C19, $F$3+1)</f>
        <v>7.99609375</v>
      </c>
      <c r="H19" s="78">
        <f t="shared" si="0"/>
        <v>4</v>
      </c>
      <c r="I19" s="78">
        <f t="shared" si="1"/>
        <v>3.90625E-3</v>
      </c>
      <c r="K19" s="26" t="s">
        <v>41</v>
      </c>
    </row>
    <row r="20" spans="2:11" x14ac:dyDescent="0.45">
      <c r="B20" s="26">
        <f t="shared" si="3"/>
        <v>26</v>
      </c>
      <c r="C20" s="57">
        <f t="shared" si="2"/>
        <v>1</v>
      </c>
      <c r="E20" s="26">
        <v>0</v>
      </c>
      <c r="G20" s="78" cm="1">
        <f t="array" ref="G20">SumOfBits(C20, $F$3+1)</f>
        <v>3.998046875</v>
      </c>
      <c r="H20" s="78">
        <f t="shared" si="0"/>
        <v>2</v>
      </c>
      <c r="I20" s="78">
        <f t="shared" si="1"/>
        <v>1.953125E-3</v>
      </c>
      <c r="K20" s="26" t="s">
        <v>41</v>
      </c>
    </row>
    <row r="21" spans="2:11" x14ac:dyDescent="0.45">
      <c r="B21" s="26">
        <f t="shared" si="3"/>
        <v>25</v>
      </c>
      <c r="C21" s="57">
        <f t="shared" si="2"/>
        <v>0</v>
      </c>
      <c r="E21" s="26">
        <v>0</v>
      </c>
      <c r="G21" s="78" cm="1">
        <f t="array" ref="G21">SumOfBits(C21, $F$3+1)</f>
        <v>1.9990234375</v>
      </c>
      <c r="H21" s="78">
        <f t="shared" si="0"/>
        <v>1</v>
      </c>
      <c r="I21" s="78">
        <f t="shared" si="1"/>
        <v>9.765625E-4</v>
      </c>
      <c r="K21" s="26" t="s">
        <v>41</v>
      </c>
    </row>
    <row r="22" spans="2:11" x14ac:dyDescent="0.45">
      <c r="B22" s="26">
        <f t="shared" si="3"/>
        <v>24</v>
      </c>
      <c r="C22" s="57">
        <f t="shared" si="2"/>
        <v>-1</v>
      </c>
      <c r="E22" s="26">
        <v>0</v>
      </c>
      <c r="G22" s="78" cm="1">
        <f t="array" ref="G22">SumOfBits(C22, $F$3+1)</f>
        <v>0.99951171875</v>
      </c>
      <c r="H22" s="78">
        <f t="shared" si="0"/>
        <v>0.5</v>
      </c>
      <c r="I22" s="78">
        <f t="shared" si="1"/>
        <v>4.8828125E-4</v>
      </c>
      <c r="K22" s="26" t="s">
        <v>41</v>
      </c>
    </row>
    <row r="23" spans="2:11" x14ac:dyDescent="0.45">
      <c r="B23" s="26">
        <f t="shared" si="3"/>
        <v>23</v>
      </c>
      <c r="C23" s="57">
        <f t="shared" si="2"/>
        <v>-2</v>
      </c>
      <c r="E23" s="26">
        <v>0</v>
      </c>
      <c r="G23" s="78" cm="1">
        <f t="array" ref="G23">SumOfBits(C23, $F$3+1)</f>
        <v>0.499755859375</v>
      </c>
      <c r="H23" s="78">
        <f t="shared" si="0"/>
        <v>0.25</v>
      </c>
      <c r="I23" s="78">
        <f t="shared" si="1"/>
        <v>2.44140625E-4</v>
      </c>
      <c r="K23" s="26" t="s">
        <v>41</v>
      </c>
    </row>
    <row r="24" spans="2:11" x14ac:dyDescent="0.45">
      <c r="B24" s="26">
        <f t="shared" si="3"/>
        <v>22</v>
      </c>
      <c r="C24" s="57">
        <f t="shared" si="2"/>
        <v>-3</v>
      </c>
      <c r="E24" s="26">
        <v>0</v>
      </c>
      <c r="G24" s="78" cm="1">
        <f t="array" ref="G24">SumOfBits(C24, $F$3+1)</f>
        <v>0.2498779296875</v>
      </c>
      <c r="H24" s="78">
        <f t="shared" si="0"/>
        <v>0.125</v>
      </c>
      <c r="I24" s="78">
        <f t="shared" si="1"/>
        <v>1.220703125E-4</v>
      </c>
      <c r="K24" s="26" t="s">
        <v>41</v>
      </c>
    </row>
    <row r="25" spans="2:11" x14ac:dyDescent="0.45">
      <c r="B25" s="26">
        <f t="shared" si="3"/>
        <v>21</v>
      </c>
      <c r="C25" s="57">
        <f t="shared" si="2"/>
        <v>-4</v>
      </c>
      <c r="E25" s="26">
        <v>0</v>
      </c>
      <c r="G25" s="78" cm="1">
        <f t="array" ref="G25">SumOfBits(C25, $F$3+1)</f>
        <v>0.12493896484375</v>
      </c>
      <c r="H25" s="78">
        <f t="shared" si="0"/>
        <v>6.25E-2</v>
      </c>
      <c r="I25" s="78">
        <f t="shared" si="1"/>
        <v>6.103515625E-5</v>
      </c>
      <c r="K25" s="26" t="s">
        <v>41</v>
      </c>
    </row>
    <row r="26" spans="2:11" x14ac:dyDescent="0.45">
      <c r="B26" s="26">
        <f t="shared" si="3"/>
        <v>20</v>
      </c>
      <c r="C26" s="57">
        <f t="shared" si="2"/>
        <v>-5</v>
      </c>
      <c r="E26" s="26">
        <v>0</v>
      </c>
      <c r="G26" s="78" cm="1">
        <f t="array" ref="G26">SumOfBits(C26, $F$3+1)</f>
        <v>6.2469482421875E-2</v>
      </c>
      <c r="H26" s="78">
        <f t="shared" si="0"/>
        <v>3.125E-2</v>
      </c>
      <c r="I26" s="78">
        <f t="shared" si="1"/>
        <v>3.0517578125E-5</v>
      </c>
      <c r="K26" s="26" t="s">
        <v>41</v>
      </c>
    </row>
    <row r="27" spans="2:11" x14ac:dyDescent="0.45">
      <c r="B27" s="26">
        <f t="shared" si="3"/>
        <v>19</v>
      </c>
      <c r="C27" s="57">
        <f t="shared" si="2"/>
        <v>-6</v>
      </c>
      <c r="E27" s="26">
        <v>0</v>
      </c>
      <c r="G27" s="78" cm="1">
        <f t="array" ref="G27">SumOfBits(C27, $F$3+1)</f>
        <v>3.12347412109375E-2</v>
      </c>
      <c r="H27" s="78">
        <f t="shared" si="0"/>
        <v>1.5625E-2</v>
      </c>
      <c r="I27" s="78">
        <f t="shared" si="1"/>
        <v>1.52587890625E-5</v>
      </c>
      <c r="K27" s="26" t="s">
        <v>41</v>
      </c>
    </row>
    <row r="28" spans="2:11" x14ac:dyDescent="0.45">
      <c r="B28" s="26">
        <f t="shared" si="3"/>
        <v>18</v>
      </c>
      <c r="C28" s="57">
        <f t="shared" si="2"/>
        <v>-7</v>
      </c>
      <c r="E28" s="26">
        <v>0</v>
      </c>
      <c r="G28" s="78" cm="1">
        <f t="array" ref="G28">SumOfBits(C28, $F$3+1)</f>
        <v>1.561737060546875E-2</v>
      </c>
      <c r="H28" s="78">
        <f t="shared" si="0"/>
        <v>7.8125E-3</v>
      </c>
      <c r="I28" s="78">
        <f t="shared" si="1"/>
        <v>7.62939453125E-6</v>
      </c>
      <c r="K28" s="26" t="s">
        <v>41</v>
      </c>
    </row>
    <row r="29" spans="2:11" x14ac:dyDescent="0.45">
      <c r="B29" s="26">
        <f t="shared" si="3"/>
        <v>17</v>
      </c>
      <c r="C29" s="57">
        <f t="shared" si="2"/>
        <v>-8</v>
      </c>
      <c r="E29" s="26">
        <v>0</v>
      </c>
      <c r="G29" s="78" cm="1">
        <f t="array" ref="G29">SumOfBits(C29, $F$3+1)</f>
        <v>7.808685302734375E-3</v>
      </c>
      <c r="H29" s="78">
        <f t="shared" si="0"/>
        <v>3.90625E-3</v>
      </c>
      <c r="I29" s="78">
        <f t="shared" si="1"/>
        <v>3.814697265625E-6</v>
      </c>
      <c r="K29" s="26" t="s">
        <v>41</v>
      </c>
    </row>
    <row r="30" spans="2:11" x14ac:dyDescent="0.45">
      <c r="B30" s="26">
        <f t="shared" si="3"/>
        <v>16</v>
      </c>
      <c r="C30" s="57">
        <f t="shared" si="2"/>
        <v>-9</v>
      </c>
      <c r="E30" s="26">
        <v>0</v>
      </c>
      <c r="G30" s="78" cm="1">
        <f t="array" ref="G30">SumOfBits(C30, $F$3+1)</f>
        <v>3.9043426513671875E-3</v>
      </c>
      <c r="H30" s="78">
        <f t="shared" si="0"/>
        <v>1.953125E-3</v>
      </c>
      <c r="I30" s="78">
        <f t="shared" si="1"/>
        <v>1.9073486328125E-6</v>
      </c>
      <c r="K30" s="26" t="s">
        <v>41</v>
      </c>
    </row>
    <row r="31" spans="2:11" x14ac:dyDescent="0.45">
      <c r="B31" s="26">
        <f t="shared" si="3"/>
        <v>15</v>
      </c>
      <c r="C31" s="57">
        <f t="shared" si="2"/>
        <v>-10</v>
      </c>
      <c r="E31" s="26">
        <v>0</v>
      </c>
      <c r="G31" s="78" cm="1">
        <f t="array" ref="G31">SumOfBits(C31, $F$3+1)</f>
        <v>1.9521713256835938E-3</v>
      </c>
      <c r="H31" s="78">
        <f t="shared" si="0"/>
        <v>9.765625E-4</v>
      </c>
      <c r="I31" s="78">
        <f>POWER(2, C31-$F$3)</f>
        <v>9.5367431640625E-7</v>
      </c>
      <c r="K31" s="26" t="s">
        <v>41</v>
      </c>
    </row>
    <row r="32" spans="2:11" x14ac:dyDescent="0.45">
      <c r="B32" s="26">
        <f t="shared" si="3"/>
        <v>14</v>
      </c>
      <c r="C32" s="57">
        <f t="shared" si="2"/>
        <v>-11</v>
      </c>
      <c r="E32" s="26">
        <v>0</v>
      </c>
      <c r="G32" s="78" cm="1">
        <f t="array" ref="G32">SumOfBits(C32, $F$3+1)</f>
        <v>9.7608566284179688E-4</v>
      </c>
      <c r="H32" s="78">
        <f t="shared" si="0"/>
        <v>4.8828125E-4</v>
      </c>
      <c r="I32" s="78">
        <f t="shared" si="1"/>
        <v>4.76837158203125E-7</v>
      </c>
      <c r="K32" s="26" t="s">
        <v>41</v>
      </c>
    </row>
    <row r="33" spans="2:11" x14ac:dyDescent="0.45">
      <c r="B33" s="26">
        <f t="shared" si="3"/>
        <v>13</v>
      </c>
      <c r="C33" s="57">
        <f t="shared" si="2"/>
        <v>-12</v>
      </c>
      <c r="E33" s="26">
        <v>0</v>
      </c>
      <c r="G33" s="78" cm="1">
        <f t="array" ref="G33">SumOfBits(C33, $F$3+1)</f>
        <v>4.8804283142089844E-4</v>
      </c>
      <c r="H33" s="78">
        <f t="shared" si="0"/>
        <v>2.44140625E-4</v>
      </c>
      <c r="I33" s="78">
        <f t="shared" si="1"/>
        <v>2.384185791015625E-7</v>
      </c>
      <c r="K33" s="26" t="s">
        <v>41</v>
      </c>
    </row>
    <row r="34" spans="2:11" x14ac:dyDescent="0.45">
      <c r="B34" s="26">
        <f t="shared" si="3"/>
        <v>12</v>
      </c>
      <c r="C34" s="57">
        <f t="shared" si="2"/>
        <v>-13</v>
      </c>
      <c r="E34" s="26">
        <v>0</v>
      </c>
      <c r="G34" s="78" cm="1">
        <f t="array" ref="G34">SumOfBits(C34, $F$3+1)</f>
        <v>2.4402141571044922E-4</v>
      </c>
      <c r="H34" s="78">
        <f t="shared" si="0"/>
        <v>1.220703125E-4</v>
      </c>
      <c r="I34" s="78">
        <f t="shared" si="1"/>
        <v>1.1920928955078125E-7</v>
      </c>
      <c r="K34" s="26" t="s">
        <v>41</v>
      </c>
    </row>
    <row r="35" spans="2:11" x14ac:dyDescent="0.45">
      <c r="B35" s="26">
        <f t="shared" si="3"/>
        <v>11</v>
      </c>
      <c r="C35" s="57">
        <f t="shared" si="2"/>
        <v>-14</v>
      </c>
      <c r="E35" s="26">
        <v>0</v>
      </c>
      <c r="G35" s="78" cm="1">
        <f t="array" ref="G35">SumOfBits(C35, $F$3+1)</f>
        <v>1.2201070785522461E-4</v>
      </c>
      <c r="H35" s="78">
        <f t="shared" si="0"/>
        <v>6.103515625E-5</v>
      </c>
      <c r="I35" s="78">
        <f t="shared" si="1"/>
        <v>5.9604644775390625E-8</v>
      </c>
      <c r="K35" s="26" t="s">
        <v>41</v>
      </c>
    </row>
    <row r="36" spans="2:11" x14ac:dyDescent="0.45">
      <c r="B36" s="26">
        <f t="shared" si="3"/>
        <v>10</v>
      </c>
      <c r="C36" s="57">
        <f t="shared" si="2"/>
        <v>-15</v>
      </c>
      <c r="E36" s="26">
        <v>0</v>
      </c>
      <c r="G36" s="78" cm="1">
        <f t="array" ref="G36">SumOfBits(C36, $F$3+1)</f>
        <v>6.1005353927612305E-5</v>
      </c>
      <c r="H36" s="78">
        <f t="shared" si="0"/>
        <v>3.0517578125E-5</v>
      </c>
      <c r="I36" s="78">
        <f t="shared" si="1"/>
        <v>2.9802322387695313E-8</v>
      </c>
      <c r="K36" s="26" t="s">
        <v>41</v>
      </c>
    </row>
    <row r="37" spans="2:11" x14ac:dyDescent="0.45">
      <c r="B37" s="26">
        <f t="shared" si="3"/>
        <v>9</v>
      </c>
      <c r="C37" s="57">
        <f t="shared" si="2"/>
        <v>-16</v>
      </c>
      <c r="E37" s="26">
        <v>0</v>
      </c>
      <c r="G37" s="78" cm="1">
        <f t="array" ref="G37">SumOfBits(C37, $F$3+1)</f>
        <v>3.0502676963806152E-5</v>
      </c>
      <c r="H37" s="78">
        <f t="shared" si="0"/>
        <v>1.52587890625E-5</v>
      </c>
      <c r="I37" s="78">
        <f t="shared" si="1"/>
        <v>1.4901161193847656E-8</v>
      </c>
      <c r="K37" s="26" t="s">
        <v>41</v>
      </c>
    </row>
    <row r="38" spans="2:11" x14ac:dyDescent="0.45">
      <c r="B38" s="26">
        <f t="shared" si="3"/>
        <v>8</v>
      </c>
      <c r="C38" s="57">
        <f t="shared" si="2"/>
        <v>-17</v>
      </c>
      <c r="E38" s="26">
        <v>0</v>
      </c>
      <c r="G38" s="78" cm="1">
        <f t="array" ref="G38">SumOfBits(C38, $F$3+1)</f>
        <v>1.5251338481903076E-5</v>
      </c>
      <c r="H38" s="78">
        <f t="shared" si="0"/>
        <v>7.62939453125E-6</v>
      </c>
      <c r="I38" s="78">
        <f t="shared" si="1"/>
        <v>7.4505805969238281E-9</v>
      </c>
      <c r="K38" s="26" t="s">
        <v>41</v>
      </c>
    </row>
    <row r="39" spans="2:11" x14ac:dyDescent="0.45">
      <c r="B39" s="26">
        <f t="shared" si="3"/>
        <v>7</v>
      </c>
      <c r="C39" s="57">
        <f t="shared" si="2"/>
        <v>-18</v>
      </c>
      <c r="E39" s="26">
        <v>0</v>
      </c>
      <c r="G39" s="78" cm="1">
        <f t="array" ref="G39">SumOfBits(C39, $F$3+1)</f>
        <v>7.6256692409515381E-6</v>
      </c>
      <c r="H39" s="78">
        <f t="shared" si="0"/>
        <v>3.814697265625E-6</v>
      </c>
      <c r="I39" s="78">
        <f t="shared" si="1"/>
        <v>3.7252902984619141E-9</v>
      </c>
      <c r="K39" s="26" t="s">
        <v>41</v>
      </c>
    </row>
    <row r="40" spans="2:11" x14ac:dyDescent="0.45">
      <c r="B40" s="26">
        <f t="shared" si="3"/>
        <v>6</v>
      </c>
      <c r="C40" s="57">
        <f t="shared" si="2"/>
        <v>-19</v>
      </c>
      <c r="E40" s="26">
        <v>0</v>
      </c>
      <c r="G40" s="78" cm="1">
        <f t="array" ref="G40">SumOfBits(C40, $F$3+1)</f>
        <v>3.812834620475769E-6</v>
      </c>
      <c r="H40" s="78">
        <f t="shared" si="0"/>
        <v>1.9073486328125E-6</v>
      </c>
      <c r="I40" s="78">
        <f t="shared" si="1"/>
        <v>1.862645149230957E-9</v>
      </c>
      <c r="K40" s="26" t="s">
        <v>41</v>
      </c>
    </row>
    <row r="41" spans="2:11" x14ac:dyDescent="0.45">
      <c r="B41" s="26">
        <f t="shared" si="3"/>
        <v>5</v>
      </c>
      <c r="C41" s="57">
        <f t="shared" si="2"/>
        <v>-20</v>
      </c>
      <c r="E41" s="26">
        <v>0</v>
      </c>
      <c r="G41" s="78" cm="1">
        <f t="array" ref="G41">SumOfBits(C41, $F$3+1)</f>
        <v>1.9064173102378845E-6</v>
      </c>
      <c r="H41" s="78">
        <f t="shared" si="0"/>
        <v>9.5367431640625E-7</v>
      </c>
      <c r="I41" s="78">
        <f t="shared" si="1"/>
        <v>9.3132257461547852E-10</v>
      </c>
      <c r="K41" s="26" t="s">
        <v>41</v>
      </c>
    </row>
    <row r="42" spans="2:11" x14ac:dyDescent="0.45">
      <c r="B42" s="26">
        <f t="shared" si="3"/>
        <v>4</v>
      </c>
      <c r="C42" s="57">
        <f t="shared" si="2"/>
        <v>-21</v>
      </c>
      <c r="E42" s="26">
        <v>0</v>
      </c>
      <c r="G42" s="78" cm="1">
        <f t="array" ref="G42">SumOfBits(C42, $F$3+1)</f>
        <v>9.5320865511894226E-7</v>
      </c>
      <c r="H42" s="78">
        <f t="shared" si="0"/>
        <v>4.76837158203125E-7</v>
      </c>
      <c r="I42" s="78">
        <f t="shared" si="1"/>
        <v>4.6566128730773926E-10</v>
      </c>
      <c r="K42" s="26" t="s">
        <v>41</v>
      </c>
    </row>
    <row r="43" spans="2:11" x14ac:dyDescent="0.45">
      <c r="B43" s="26">
        <f t="shared" si="3"/>
        <v>3</v>
      </c>
      <c r="C43" s="57">
        <f t="shared" si="2"/>
        <v>-22</v>
      </c>
      <c r="E43" s="26">
        <v>0</v>
      </c>
      <c r="G43" s="78" cm="1">
        <f t="array" ref="G43">SumOfBits(C43, $F$3+1)</f>
        <v>4.7660432755947113E-7</v>
      </c>
      <c r="H43" s="78">
        <f t="shared" si="0"/>
        <v>2.384185791015625E-7</v>
      </c>
      <c r="I43" s="78">
        <f t="shared" si="1"/>
        <v>2.3283064365386963E-10</v>
      </c>
      <c r="K43" s="26" t="s">
        <v>41</v>
      </c>
    </row>
    <row r="44" spans="2:11" x14ac:dyDescent="0.45">
      <c r="B44" s="26">
        <f t="shared" si="3"/>
        <v>2</v>
      </c>
      <c r="C44" s="57">
        <f t="shared" si="2"/>
        <v>-23</v>
      </c>
      <c r="E44" s="26">
        <v>0</v>
      </c>
      <c r="G44" s="78" cm="1">
        <f t="array" ref="G44">SumOfBits(C44, $F$3+1)</f>
        <v>2.3830216377973557E-7</v>
      </c>
      <c r="H44" s="78">
        <f t="shared" si="0"/>
        <v>1.1920928955078125E-7</v>
      </c>
      <c r="I44" s="78">
        <f t="shared" si="1"/>
        <v>1.1641532182693481E-10</v>
      </c>
      <c r="K44" s="26" t="s">
        <v>41</v>
      </c>
    </row>
    <row r="45" spans="2:11" x14ac:dyDescent="0.45">
      <c r="B45" s="26">
        <f t="shared" si="3"/>
        <v>1</v>
      </c>
      <c r="C45" s="57">
        <f t="shared" si="2"/>
        <v>-24</v>
      </c>
      <c r="E45" s="26">
        <v>0</v>
      </c>
      <c r="G45" s="78" cm="1">
        <f t="array" ref="G45">SumOfBits(C45, $F$3+1)</f>
        <v>1.1915108188986778E-7</v>
      </c>
      <c r="H45" s="78">
        <f t="shared" si="0"/>
        <v>5.9604644775390625E-8</v>
      </c>
      <c r="I45" s="78">
        <f t="shared" si="1"/>
        <v>5.8207660913467407E-11</v>
      </c>
      <c r="K45" s="26" t="s">
        <v>41</v>
      </c>
    </row>
    <row r="46" spans="2:11" x14ac:dyDescent="0.45">
      <c r="B46" s="26">
        <f t="shared" si="3"/>
        <v>0</v>
      </c>
      <c r="C46" s="57">
        <v>0</v>
      </c>
      <c r="E46" s="26">
        <v>0</v>
      </c>
      <c r="G46" s="78">
        <v>0</v>
      </c>
      <c r="H46" s="78">
        <v>0</v>
      </c>
      <c r="I46" s="78">
        <v>0</v>
      </c>
      <c r="K46" s="26" t="s">
        <v>41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E8F9FF-D01F-4C67-A77D-33533C297B0B}">
  <sheetPr codeName="Sheet5"/>
  <dimension ref="B1:G43"/>
  <sheetViews>
    <sheetView workbookViewId="0">
      <selection activeCell="H21" sqref="H21"/>
    </sheetView>
  </sheetViews>
  <sheetFormatPr defaultRowHeight="15.5" x14ac:dyDescent="0.45"/>
  <cols>
    <col min="1" max="1" width="5.765625" style="2" customWidth="1"/>
    <col min="2" max="4" width="9.23046875" style="2"/>
    <col min="5" max="5" width="20.07421875" style="2" customWidth="1"/>
    <col min="6" max="6" width="9.23046875" style="2"/>
    <col min="7" max="7" width="34.4609375" style="2" customWidth="1"/>
    <col min="8" max="16384" width="9.23046875" style="2"/>
  </cols>
  <sheetData>
    <row r="1" spans="2:7" x14ac:dyDescent="0.45">
      <c r="G1" s="26" t="s">
        <v>42</v>
      </c>
    </row>
    <row r="2" spans="2:7" x14ac:dyDescent="0.45">
      <c r="B2" s="26" t="s">
        <v>44</v>
      </c>
      <c r="C2" s="26" t="s">
        <v>43</v>
      </c>
      <c r="D2" s="26" t="s">
        <v>45</v>
      </c>
      <c r="G2" s="62" t="s">
        <v>40</v>
      </c>
    </row>
    <row r="3" spans="2:7" x14ac:dyDescent="0.45">
      <c r="B3" s="26">
        <v>0</v>
      </c>
      <c r="C3" s="26">
        <v>31</v>
      </c>
      <c r="D3" s="57">
        <v>16</v>
      </c>
      <c r="E3" s="8">
        <f t="shared" ref="E3:E43" si="0">2^(D3)</f>
        <v>65536</v>
      </c>
      <c r="G3" s="26" t="s">
        <v>41</v>
      </c>
    </row>
    <row r="4" spans="2:7" x14ac:dyDescent="0.45">
      <c r="B4" s="26">
        <v>0</v>
      </c>
      <c r="C4" s="26">
        <v>30</v>
      </c>
      <c r="D4" s="57">
        <v>15</v>
      </c>
      <c r="E4" s="8">
        <f t="shared" si="0"/>
        <v>32768</v>
      </c>
      <c r="G4" s="26" t="s">
        <v>41</v>
      </c>
    </row>
    <row r="5" spans="2:7" x14ac:dyDescent="0.45">
      <c r="B5" s="26">
        <v>0</v>
      </c>
      <c r="C5" s="26">
        <v>29</v>
      </c>
      <c r="D5" s="57">
        <v>14</v>
      </c>
      <c r="E5" s="8">
        <f t="shared" si="0"/>
        <v>16384</v>
      </c>
      <c r="G5" s="26" t="s">
        <v>41</v>
      </c>
    </row>
    <row r="6" spans="2:7" x14ac:dyDescent="0.45">
      <c r="B6" s="26">
        <v>0</v>
      </c>
      <c r="C6" s="26">
        <v>28</v>
      </c>
      <c r="D6" s="57">
        <v>13</v>
      </c>
      <c r="E6" s="8">
        <f t="shared" si="0"/>
        <v>8192</v>
      </c>
      <c r="G6" s="26" t="s">
        <v>41</v>
      </c>
    </row>
    <row r="7" spans="2:7" x14ac:dyDescent="0.45">
      <c r="B7" s="26">
        <v>0</v>
      </c>
      <c r="C7" s="26">
        <v>27</v>
      </c>
      <c r="D7" s="57">
        <v>12</v>
      </c>
      <c r="E7" s="8">
        <f t="shared" si="0"/>
        <v>4096</v>
      </c>
      <c r="G7" s="26" t="s">
        <v>41</v>
      </c>
    </row>
    <row r="8" spans="2:7" x14ac:dyDescent="0.45">
      <c r="B8" s="26">
        <v>0</v>
      </c>
      <c r="C8" s="26">
        <v>26</v>
      </c>
      <c r="D8" s="57">
        <v>11</v>
      </c>
      <c r="E8" s="8">
        <f t="shared" si="0"/>
        <v>2048</v>
      </c>
      <c r="G8" s="26" t="s">
        <v>41</v>
      </c>
    </row>
    <row r="9" spans="2:7" x14ac:dyDescent="0.45">
      <c r="B9" s="26">
        <v>0</v>
      </c>
      <c r="C9" s="26">
        <v>25</v>
      </c>
      <c r="D9" s="57">
        <v>10</v>
      </c>
      <c r="E9" s="8">
        <f t="shared" si="0"/>
        <v>1024</v>
      </c>
      <c r="G9" s="26" t="s">
        <v>41</v>
      </c>
    </row>
    <row r="10" spans="2:7" x14ac:dyDescent="0.45">
      <c r="B10" s="26">
        <v>0</v>
      </c>
      <c r="C10" s="26">
        <v>24</v>
      </c>
      <c r="D10" s="57">
        <v>9</v>
      </c>
      <c r="E10" s="8">
        <f t="shared" si="0"/>
        <v>512</v>
      </c>
      <c r="G10" s="26" t="s">
        <v>41</v>
      </c>
    </row>
    <row r="11" spans="2:7" x14ac:dyDescent="0.45">
      <c r="B11" s="26">
        <v>0</v>
      </c>
      <c r="C11" s="26">
        <v>23</v>
      </c>
      <c r="D11" s="57">
        <v>8</v>
      </c>
      <c r="E11" s="8">
        <f t="shared" si="0"/>
        <v>256</v>
      </c>
      <c r="G11" s="26" t="s">
        <v>41</v>
      </c>
    </row>
    <row r="12" spans="2:7" x14ac:dyDescent="0.45">
      <c r="B12" s="26">
        <v>0</v>
      </c>
      <c r="C12" s="26">
        <v>22</v>
      </c>
      <c r="D12" s="57">
        <v>7</v>
      </c>
      <c r="E12" s="8">
        <f t="shared" si="0"/>
        <v>128</v>
      </c>
      <c r="G12" s="26" t="s">
        <v>41</v>
      </c>
    </row>
    <row r="13" spans="2:7" x14ac:dyDescent="0.45">
      <c r="B13" s="26">
        <v>0</v>
      </c>
      <c r="C13" s="26">
        <v>21</v>
      </c>
      <c r="D13" s="57">
        <v>6</v>
      </c>
      <c r="E13" s="8">
        <f t="shared" si="0"/>
        <v>64</v>
      </c>
      <c r="G13" s="26" t="s">
        <v>41</v>
      </c>
    </row>
    <row r="14" spans="2:7" x14ac:dyDescent="0.45">
      <c r="B14" s="26">
        <v>0</v>
      </c>
      <c r="C14" s="26">
        <v>20</v>
      </c>
      <c r="D14" s="57">
        <v>5</v>
      </c>
      <c r="E14" s="8">
        <f t="shared" si="0"/>
        <v>32</v>
      </c>
      <c r="G14" s="26" t="s">
        <v>41</v>
      </c>
    </row>
    <row r="15" spans="2:7" x14ac:dyDescent="0.45">
      <c r="B15" s="26">
        <v>0</v>
      </c>
      <c r="C15" s="26">
        <v>19</v>
      </c>
      <c r="D15" s="57">
        <v>4</v>
      </c>
      <c r="E15" s="8">
        <f t="shared" si="0"/>
        <v>16</v>
      </c>
      <c r="G15" s="26" t="s">
        <v>41</v>
      </c>
    </row>
    <row r="16" spans="2:7" x14ac:dyDescent="0.45">
      <c r="B16" s="26">
        <v>0</v>
      </c>
      <c r="C16" s="26">
        <v>18</v>
      </c>
      <c r="D16" s="57">
        <v>3</v>
      </c>
      <c r="E16" s="8">
        <f t="shared" si="0"/>
        <v>8</v>
      </c>
      <c r="G16" s="26" t="s">
        <v>41</v>
      </c>
    </row>
    <row r="17" spans="2:7" x14ac:dyDescent="0.45">
      <c r="B17" s="26">
        <v>0</v>
      </c>
      <c r="C17" s="26">
        <v>17</v>
      </c>
      <c r="D17" s="57">
        <v>2</v>
      </c>
      <c r="E17" s="8">
        <f t="shared" si="0"/>
        <v>4</v>
      </c>
      <c r="G17" s="26" t="s">
        <v>41</v>
      </c>
    </row>
    <row r="18" spans="2:7" x14ac:dyDescent="0.45">
      <c r="B18" s="26">
        <v>0</v>
      </c>
      <c r="C18" s="26">
        <v>16</v>
      </c>
      <c r="D18" s="57">
        <v>1</v>
      </c>
      <c r="E18" s="8">
        <f t="shared" si="0"/>
        <v>2</v>
      </c>
      <c r="G18" s="26" t="s">
        <v>41</v>
      </c>
    </row>
    <row r="19" spans="2:7" x14ac:dyDescent="0.45">
      <c r="B19" s="26">
        <v>0</v>
      </c>
      <c r="C19" s="26">
        <v>15</v>
      </c>
      <c r="D19" s="57">
        <v>0</v>
      </c>
      <c r="E19" s="8">
        <f t="shared" si="0"/>
        <v>1</v>
      </c>
      <c r="G19" s="26" t="s">
        <v>41</v>
      </c>
    </row>
    <row r="20" spans="2:7" x14ac:dyDescent="0.45">
      <c r="B20" s="26">
        <v>0</v>
      </c>
      <c r="C20" s="26">
        <v>14</v>
      </c>
      <c r="D20" s="57">
        <v>-1</v>
      </c>
      <c r="E20" s="8">
        <f t="shared" si="0"/>
        <v>0.5</v>
      </c>
      <c r="G20" s="26" t="s">
        <v>41</v>
      </c>
    </row>
    <row r="21" spans="2:7" x14ac:dyDescent="0.45">
      <c r="B21" s="26">
        <v>0</v>
      </c>
      <c r="C21" s="26">
        <v>13</v>
      </c>
      <c r="D21" s="57">
        <v>-2</v>
      </c>
      <c r="E21" s="8">
        <f t="shared" si="0"/>
        <v>0.25</v>
      </c>
      <c r="G21" s="26" t="s">
        <v>41</v>
      </c>
    </row>
    <row r="22" spans="2:7" x14ac:dyDescent="0.45">
      <c r="B22" s="26">
        <v>0</v>
      </c>
      <c r="C22" s="26">
        <v>12</v>
      </c>
      <c r="D22" s="57">
        <v>-3</v>
      </c>
      <c r="E22" s="8">
        <f t="shared" si="0"/>
        <v>0.125</v>
      </c>
      <c r="G22" s="26" t="s">
        <v>41</v>
      </c>
    </row>
    <row r="23" spans="2:7" x14ac:dyDescent="0.45">
      <c r="B23" s="26">
        <v>0</v>
      </c>
      <c r="C23" s="26">
        <v>11</v>
      </c>
      <c r="D23" s="57">
        <v>-4</v>
      </c>
      <c r="E23" s="8">
        <f t="shared" si="0"/>
        <v>6.25E-2</v>
      </c>
      <c r="G23" s="26" t="s">
        <v>41</v>
      </c>
    </row>
    <row r="24" spans="2:7" x14ac:dyDescent="0.45">
      <c r="B24" s="26">
        <v>0</v>
      </c>
      <c r="C24" s="26">
        <v>10</v>
      </c>
      <c r="D24" s="57">
        <v>-5</v>
      </c>
      <c r="E24" s="8">
        <f t="shared" si="0"/>
        <v>3.125E-2</v>
      </c>
      <c r="G24" s="26" t="s">
        <v>41</v>
      </c>
    </row>
    <row r="25" spans="2:7" x14ac:dyDescent="0.45">
      <c r="B25" s="26">
        <v>0</v>
      </c>
      <c r="C25" s="26">
        <v>9</v>
      </c>
      <c r="D25" s="57">
        <v>-6</v>
      </c>
      <c r="E25" s="8">
        <f t="shared" si="0"/>
        <v>1.5625E-2</v>
      </c>
      <c r="G25" s="26" t="s">
        <v>41</v>
      </c>
    </row>
    <row r="26" spans="2:7" x14ac:dyDescent="0.45">
      <c r="B26" s="26">
        <v>0</v>
      </c>
      <c r="C26" s="26">
        <v>8</v>
      </c>
      <c r="D26" s="57">
        <v>-7</v>
      </c>
      <c r="E26" s="8">
        <f t="shared" si="0"/>
        <v>7.8125E-3</v>
      </c>
      <c r="G26" s="26" t="s">
        <v>41</v>
      </c>
    </row>
    <row r="27" spans="2:7" x14ac:dyDescent="0.45">
      <c r="B27" s="26">
        <v>0</v>
      </c>
      <c r="C27" s="26">
        <v>7</v>
      </c>
      <c r="D27" s="57">
        <v>-8</v>
      </c>
      <c r="E27" s="8">
        <f t="shared" si="0"/>
        <v>3.90625E-3</v>
      </c>
      <c r="G27" s="26" t="s">
        <v>41</v>
      </c>
    </row>
    <row r="28" spans="2:7" x14ac:dyDescent="0.45">
      <c r="B28" s="26">
        <v>0</v>
      </c>
      <c r="C28" s="26">
        <v>6</v>
      </c>
      <c r="D28" s="57">
        <v>-9</v>
      </c>
      <c r="E28" s="8">
        <f t="shared" si="0"/>
        <v>1.953125E-3</v>
      </c>
      <c r="G28" s="26" t="s">
        <v>41</v>
      </c>
    </row>
    <row r="29" spans="2:7" x14ac:dyDescent="0.45">
      <c r="B29" s="26">
        <v>0</v>
      </c>
      <c r="C29" s="26">
        <v>5</v>
      </c>
      <c r="D29" s="57">
        <v>-10</v>
      </c>
      <c r="E29" s="8">
        <f t="shared" si="0"/>
        <v>9.765625E-4</v>
      </c>
      <c r="G29" s="26" t="s">
        <v>41</v>
      </c>
    </row>
    <row r="30" spans="2:7" x14ac:dyDescent="0.45">
      <c r="B30" s="26">
        <v>0</v>
      </c>
      <c r="C30" s="26">
        <v>4</v>
      </c>
      <c r="D30" s="57">
        <v>-11</v>
      </c>
      <c r="E30" s="8">
        <f t="shared" si="0"/>
        <v>4.8828125E-4</v>
      </c>
      <c r="G30" s="26" t="s">
        <v>41</v>
      </c>
    </row>
    <row r="31" spans="2:7" x14ac:dyDescent="0.45">
      <c r="B31" s="26">
        <v>0</v>
      </c>
      <c r="C31" s="26">
        <v>3</v>
      </c>
      <c r="D31" s="57">
        <v>-12</v>
      </c>
      <c r="E31" s="8">
        <f t="shared" si="0"/>
        <v>2.44140625E-4</v>
      </c>
      <c r="G31" s="26" t="s">
        <v>41</v>
      </c>
    </row>
    <row r="32" spans="2:7" x14ac:dyDescent="0.45">
      <c r="B32" s="26">
        <v>0</v>
      </c>
      <c r="C32" s="26">
        <v>2</v>
      </c>
      <c r="D32" s="57">
        <v>-13</v>
      </c>
      <c r="E32" s="8">
        <f t="shared" si="0"/>
        <v>1.220703125E-4</v>
      </c>
      <c r="G32" s="26" t="s">
        <v>41</v>
      </c>
    </row>
    <row r="33" spans="2:7" x14ac:dyDescent="0.45">
      <c r="B33" s="26">
        <v>0</v>
      </c>
      <c r="C33" s="26">
        <v>1</v>
      </c>
      <c r="D33" s="57">
        <v>-14</v>
      </c>
      <c r="E33" s="8">
        <f t="shared" si="0"/>
        <v>6.103515625E-5</v>
      </c>
      <c r="G33" s="26" t="s">
        <v>41</v>
      </c>
    </row>
    <row r="34" spans="2:7" x14ac:dyDescent="0.45">
      <c r="B34" s="26">
        <v>1</v>
      </c>
      <c r="C34" s="26">
        <v>0</v>
      </c>
      <c r="D34" s="58">
        <v>-15</v>
      </c>
      <c r="E34" s="8">
        <f t="shared" si="0"/>
        <v>3.0517578125E-5</v>
      </c>
      <c r="G34" s="26" t="s">
        <v>46</v>
      </c>
    </row>
    <row r="35" spans="2:7" x14ac:dyDescent="0.45">
      <c r="B35" s="26">
        <v>2</v>
      </c>
      <c r="C35" s="26">
        <v>0</v>
      </c>
      <c r="D35" s="58">
        <v>-16</v>
      </c>
      <c r="E35" s="8">
        <f t="shared" si="0"/>
        <v>1.52587890625E-5</v>
      </c>
      <c r="G35" s="26" t="s">
        <v>46</v>
      </c>
    </row>
    <row r="36" spans="2:7" x14ac:dyDescent="0.45">
      <c r="B36" s="26">
        <v>3</v>
      </c>
      <c r="C36" s="26">
        <v>0</v>
      </c>
      <c r="D36" s="58">
        <v>-17</v>
      </c>
      <c r="E36" s="8">
        <f t="shared" si="0"/>
        <v>7.62939453125E-6</v>
      </c>
      <c r="G36" s="26" t="s">
        <v>46</v>
      </c>
    </row>
    <row r="37" spans="2:7" x14ac:dyDescent="0.45">
      <c r="B37" s="26">
        <v>4</v>
      </c>
      <c r="C37" s="26">
        <v>0</v>
      </c>
      <c r="D37" s="58">
        <v>-18</v>
      </c>
      <c r="E37" s="8">
        <f t="shared" si="0"/>
        <v>3.814697265625E-6</v>
      </c>
      <c r="G37" s="26" t="s">
        <v>46</v>
      </c>
    </row>
    <row r="38" spans="2:7" x14ac:dyDescent="0.45">
      <c r="B38" s="26">
        <v>5</v>
      </c>
      <c r="C38" s="26">
        <v>0</v>
      </c>
      <c r="D38" s="58">
        <v>-19</v>
      </c>
      <c r="E38" s="8">
        <f t="shared" si="0"/>
        <v>1.9073486328125E-6</v>
      </c>
      <c r="G38" s="26" t="s">
        <v>46</v>
      </c>
    </row>
    <row r="39" spans="2:7" x14ac:dyDescent="0.45">
      <c r="B39" s="26">
        <v>6</v>
      </c>
      <c r="C39" s="26">
        <v>0</v>
      </c>
      <c r="D39" s="58">
        <v>-20</v>
      </c>
      <c r="E39" s="8">
        <f t="shared" si="0"/>
        <v>9.5367431640625E-7</v>
      </c>
      <c r="G39" s="26" t="s">
        <v>46</v>
      </c>
    </row>
    <row r="40" spans="2:7" x14ac:dyDescent="0.45">
      <c r="B40" s="26">
        <v>7</v>
      </c>
      <c r="C40" s="26">
        <v>0</v>
      </c>
      <c r="D40" s="58">
        <v>-21</v>
      </c>
      <c r="E40" s="8">
        <f t="shared" si="0"/>
        <v>4.76837158203125E-7</v>
      </c>
      <c r="G40" s="26" t="s">
        <v>46</v>
      </c>
    </row>
    <row r="41" spans="2:7" x14ac:dyDescent="0.45">
      <c r="B41" s="26">
        <v>8</v>
      </c>
      <c r="C41" s="26">
        <v>0</v>
      </c>
      <c r="D41" s="58">
        <v>-22</v>
      </c>
      <c r="E41" s="8">
        <f t="shared" si="0"/>
        <v>2.384185791015625E-7</v>
      </c>
      <c r="G41" s="26" t="s">
        <v>46</v>
      </c>
    </row>
    <row r="42" spans="2:7" x14ac:dyDescent="0.45">
      <c r="B42" s="26">
        <v>9</v>
      </c>
      <c r="C42" s="26">
        <v>0</v>
      </c>
      <c r="D42" s="58">
        <v>-23</v>
      </c>
      <c r="E42" s="8">
        <f t="shared" si="0"/>
        <v>1.1920928955078125E-7</v>
      </c>
      <c r="G42" s="26" t="s">
        <v>46</v>
      </c>
    </row>
    <row r="43" spans="2:7" x14ac:dyDescent="0.45">
      <c r="B43" s="26">
        <v>10</v>
      </c>
      <c r="C43" s="26">
        <v>0</v>
      </c>
      <c r="D43" s="58">
        <v>-24</v>
      </c>
      <c r="E43" s="8">
        <f t="shared" si="0"/>
        <v>5.9604644775390625E-8</v>
      </c>
      <c r="G43" s="26" t="s">
        <v>46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0248B-5B90-40D3-A2D5-B02DDE874AB4}">
  <sheetPr codeName="Sheet6"/>
  <dimension ref="B2:AH29"/>
  <sheetViews>
    <sheetView workbookViewId="0">
      <selection activeCell="R36" sqref="R36"/>
    </sheetView>
  </sheetViews>
  <sheetFormatPr defaultRowHeight="17.5" x14ac:dyDescent="0.45"/>
  <cols>
    <col min="1" max="42" width="4.765625" customWidth="1"/>
  </cols>
  <sheetData>
    <row r="2" spans="2:23" x14ac:dyDescent="0.45">
      <c r="B2" s="54">
        <v>11</v>
      </c>
      <c r="C2" s="54">
        <v>10</v>
      </c>
      <c r="D2" s="54">
        <v>9</v>
      </c>
      <c r="E2" s="54">
        <v>8</v>
      </c>
      <c r="F2" s="54">
        <v>7</v>
      </c>
      <c r="G2" s="54">
        <v>6</v>
      </c>
      <c r="H2" s="54">
        <v>5</v>
      </c>
      <c r="I2" s="54">
        <v>4</v>
      </c>
      <c r="J2" s="54">
        <v>3</v>
      </c>
      <c r="K2" s="54">
        <v>2</v>
      </c>
      <c r="L2" s="54">
        <v>1</v>
      </c>
      <c r="M2" s="54">
        <v>0</v>
      </c>
    </row>
    <row r="3" spans="2:23" x14ac:dyDescent="0.45">
      <c r="B3" s="56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</row>
    <row r="5" spans="2:23" x14ac:dyDescent="0.45">
      <c r="B5" s="54">
        <v>11</v>
      </c>
      <c r="C5" s="54">
        <v>10</v>
      </c>
      <c r="D5" s="54">
        <v>9</v>
      </c>
      <c r="E5" s="54">
        <v>8</v>
      </c>
      <c r="F5" s="54">
        <v>7</v>
      </c>
      <c r="G5" s="54">
        <v>6</v>
      </c>
      <c r="H5" s="54">
        <v>5</v>
      </c>
      <c r="I5" s="54">
        <v>4</v>
      </c>
      <c r="J5" s="54">
        <v>3</v>
      </c>
      <c r="K5" s="54">
        <v>2</v>
      </c>
      <c r="L5" s="54">
        <v>1</v>
      </c>
      <c r="M5" s="54">
        <v>0</v>
      </c>
    </row>
    <row r="6" spans="2:23" x14ac:dyDescent="0.45">
      <c r="B6" s="56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</row>
    <row r="11" spans="2:23" x14ac:dyDescent="0.45">
      <c r="B11" s="54">
        <v>21</v>
      </c>
      <c r="C11" s="54">
        <v>20</v>
      </c>
      <c r="D11" s="54">
        <v>19</v>
      </c>
      <c r="E11" s="54">
        <v>18</v>
      </c>
      <c r="F11" s="54">
        <v>17</v>
      </c>
      <c r="G11" s="54">
        <v>16</v>
      </c>
      <c r="H11" s="54">
        <v>15</v>
      </c>
      <c r="I11" s="54">
        <v>14</v>
      </c>
      <c r="J11" s="54">
        <v>13</v>
      </c>
      <c r="K11" s="54">
        <v>12</v>
      </c>
      <c r="L11" s="54">
        <v>11</v>
      </c>
      <c r="M11" s="54">
        <v>10</v>
      </c>
      <c r="N11" s="54">
        <v>9</v>
      </c>
      <c r="O11" s="54">
        <v>8</v>
      </c>
      <c r="P11" s="54">
        <v>7</v>
      </c>
      <c r="Q11" s="54">
        <v>6</v>
      </c>
      <c r="R11" s="54">
        <v>5</v>
      </c>
      <c r="S11" s="54">
        <v>4</v>
      </c>
      <c r="T11" s="54">
        <v>3</v>
      </c>
      <c r="U11" s="54">
        <v>2</v>
      </c>
      <c r="V11" s="54">
        <v>1</v>
      </c>
      <c r="W11" s="54">
        <v>0</v>
      </c>
    </row>
    <row r="12" spans="2:23" x14ac:dyDescent="0.45">
      <c r="B12" s="56"/>
      <c r="C12" s="56"/>
      <c r="D12" s="55"/>
      <c r="E12" s="55"/>
      <c r="F12" s="55"/>
      <c r="G12" s="55"/>
      <c r="H12" s="55"/>
      <c r="I12" s="55"/>
      <c r="J12" s="55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</row>
    <row r="18" spans="2:34" x14ac:dyDescent="0.45">
      <c r="B18" s="54">
        <v>21</v>
      </c>
      <c r="C18" s="54">
        <v>20</v>
      </c>
      <c r="D18" s="54">
        <v>19</v>
      </c>
      <c r="E18" s="54">
        <v>18</v>
      </c>
      <c r="F18" s="54">
        <v>17</v>
      </c>
      <c r="G18" s="54">
        <v>16</v>
      </c>
      <c r="H18" s="54">
        <v>15</v>
      </c>
      <c r="I18" s="54">
        <v>14</v>
      </c>
      <c r="J18" s="54">
        <v>13</v>
      </c>
      <c r="K18" s="54">
        <v>12</v>
      </c>
      <c r="L18" s="54">
        <v>11</v>
      </c>
      <c r="M18" s="54">
        <v>10</v>
      </c>
      <c r="N18" s="54">
        <v>9</v>
      </c>
      <c r="O18" s="54">
        <v>8</v>
      </c>
      <c r="U18" s="54">
        <v>20</v>
      </c>
      <c r="V18" s="54">
        <v>19</v>
      </c>
      <c r="W18" s="54">
        <v>18</v>
      </c>
      <c r="X18" s="54">
        <v>17</v>
      </c>
      <c r="Y18" s="54">
        <v>16</v>
      </c>
      <c r="Z18" s="54">
        <v>15</v>
      </c>
      <c r="AA18" s="54">
        <v>14</v>
      </c>
      <c r="AB18" s="54">
        <v>13</v>
      </c>
      <c r="AC18" s="54">
        <v>12</v>
      </c>
      <c r="AD18" s="54">
        <v>11</v>
      </c>
      <c r="AE18" s="54">
        <v>10</v>
      </c>
      <c r="AF18" s="54">
        <v>9</v>
      </c>
      <c r="AG18" s="54">
        <v>8</v>
      </c>
      <c r="AH18" s="54">
        <v>7</v>
      </c>
    </row>
    <row r="19" spans="2:34" x14ac:dyDescent="0.45">
      <c r="B19" s="56"/>
      <c r="C19" s="56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O19" s="55"/>
      <c r="U19" s="56"/>
      <c r="V19" s="55"/>
      <c r="W19" s="55"/>
      <c r="X19" s="55"/>
      <c r="Y19" s="55"/>
      <c r="Z19" s="55"/>
      <c r="AA19" s="55"/>
      <c r="AB19" s="55"/>
      <c r="AC19" s="55"/>
      <c r="AD19" s="55"/>
      <c r="AE19" s="55"/>
      <c r="AF19" s="55"/>
      <c r="AG19" s="55"/>
      <c r="AH19" s="55"/>
    </row>
    <row r="23" spans="2:34" x14ac:dyDescent="0.45">
      <c r="B23" s="54">
        <v>21</v>
      </c>
      <c r="C23" s="54">
        <v>20</v>
      </c>
      <c r="D23" s="54">
        <v>19</v>
      </c>
      <c r="E23" s="54">
        <v>18</v>
      </c>
      <c r="F23" s="54">
        <v>17</v>
      </c>
      <c r="G23" s="54">
        <v>16</v>
      </c>
      <c r="H23" s="54">
        <v>15</v>
      </c>
      <c r="I23" s="54">
        <v>14</v>
      </c>
      <c r="J23" s="54">
        <v>13</v>
      </c>
      <c r="K23" s="54">
        <v>12</v>
      </c>
      <c r="L23" s="54">
        <v>11</v>
      </c>
      <c r="U23" s="54">
        <v>20</v>
      </c>
      <c r="V23" s="54">
        <v>19</v>
      </c>
      <c r="W23" s="54">
        <v>18</v>
      </c>
      <c r="X23" s="54">
        <v>17</v>
      </c>
      <c r="Y23" s="54">
        <v>16</v>
      </c>
      <c r="Z23" s="54">
        <v>15</v>
      </c>
      <c r="AA23" s="54">
        <v>14</v>
      </c>
      <c r="AB23" s="54">
        <v>13</v>
      </c>
      <c r="AC23" s="54">
        <v>12</v>
      </c>
      <c r="AD23" s="54">
        <v>11</v>
      </c>
      <c r="AE23" s="54">
        <v>10</v>
      </c>
    </row>
    <row r="24" spans="2:34" x14ac:dyDescent="0.45">
      <c r="B24" s="56"/>
      <c r="C24" s="56"/>
      <c r="D24" s="55"/>
      <c r="E24" s="55"/>
      <c r="F24" s="55"/>
      <c r="G24" s="55"/>
      <c r="H24" s="55"/>
      <c r="I24" s="55"/>
      <c r="J24" s="55"/>
      <c r="K24" s="55"/>
      <c r="L24" s="55"/>
      <c r="U24" s="56"/>
      <c r="V24" s="55"/>
      <c r="W24" s="55"/>
      <c r="X24" s="55"/>
      <c r="Y24" s="55"/>
      <c r="Z24" s="55"/>
      <c r="AA24" s="55"/>
      <c r="AB24" s="55"/>
      <c r="AC24" s="55"/>
      <c r="AD24" s="55"/>
      <c r="AE24" s="55"/>
    </row>
    <row r="28" spans="2:34" x14ac:dyDescent="0.45">
      <c r="B28" s="54">
        <v>20</v>
      </c>
      <c r="C28" s="54">
        <v>19</v>
      </c>
      <c r="D28" s="54">
        <v>18</v>
      </c>
      <c r="E28" s="54">
        <v>17</v>
      </c>
      <c r="F28" s="54">
        <v>16</v>
      </c>
      <c r="G28" s="54">
        <v>15</v>
      </c>
      <c r="H28" s="54">
        <v>14</v>
      </c>
      <c r="I28" s="54">
        <v>13</v>
      </c>
      <c r="J28" s="54">
        <v>12</v>
      </c>
      <c r="K28" s="54">
        <v>11</v>
      </c>
      <c r="U28" s="54">
        <v>19</v>
      </c>
      <c r="V28" s="54">
        <v>18</v>
      </c>
      <c r="W28" s="54">
        <v>17</v>
      </c>
      <c r="X28" s="54">
        <v>16</v>
      </c>
      <c r="Y28" s="54">
        <v>15</v>
      </c>
      <c r="Z28" s="54">
        <v>14</v>
      </c>
      <c r="AA28" s="54">
        <v>13</v>
      </c>
      <c r="AB28" s="54">
        <v>12</v>
      </c>
      <c r="AC28" s="54">
        <v>11</v>
      </c>
      <c r="AD28" s="54">
        <v>10</v>
      </c>
    </row>
    <row r="29" spans="2:34" x14ac:dyDescent="0.45">
      <c r="B29" s="56"/>
      <c r="C29" s="55"/>
      <c r="D29" s="55"/>
      <c r="E29" s="55"/>
      <c r="F29" s="55"/>
      <c r="G29" s="55"/>
      <c r="H29" s="55"/>
      <c r="I29" s="55"/>
      <c r="J29" s="55"/>
      <c r="K29" s="55"/>
      <c r="U29" s="55"/>
      <c r="V29" s="55"/>
      <c r="W29" s="55"/>
      <c r="X29" s="55"/>
      <c r="Y29" s="55"/>
      <c r="Z29" s="55"/>
      <c r="AA29" s="55"/>
      <c r="AB29" s="55"/>
      <c r="AC29" s="55"/>
      <c r="AD29" s="55"/>
    </row>
  </sheetData>
  <phoneticPr fontId="1" type="noConversion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226F06-07F6-4398-89AF-997FB67A5697}">
  <sheetPr codeName="Sheet7"/>
  <dimension ref="A1"/>
  <sheetViews>
    <sheetView workbookViewId="0">
      <selection activeCell="P31" sqref="P31"/>
    </sheetView>
  </sheetViews>
  <sheetFormatPr defaultRowHeight="17.5" x14ac:dyDescent="0.45"/>
  <cols>
    <col min="2" max="2" width="25.53515625" bestFit="1" customWidth="1"/>
  </cols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Sim_of_F16_Adder_GRS</vt:lpstr>
      <vt:lpstr>Sim_of_F16_Adder_No_GRS</vt:lpstr>
      <vt:lpstr>Sim_of_F16_Multiplier_GRS</vt:lpstr>
      <vt:lpstr>Sim_of_F16_Multiplier_No_GRS</vt:lpstr>
      <vt:lpstr>Sim_of_F16_Fmac_No_GRS</vt:lpstr>
      <vt:lpstr>Normal</vt:lpstr>
      <vt:lpstr>Etc_01</vt:lpstr>
      <vt:lpstr>Etc_02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이주홍</dc:creator>
  <cp:lastModifiedBy>이주홍</cp:lastModifiedBy>
  <dcterms:created xsi:type="dcterms:W3CDTF">2025-04-16T06:41:15Z</dcterms:created>
  <dcterms:modified xsi:type="dcterms:W3CDTF">2025-06-02T06:06:58Z</dcterms:modified>
</cp:coreProperties>
</file>